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O027\ApsimX\Tests\Validation\Stock\"/>
    </mc:Choice>
  </mc:AlternateContent>
  <xr:revisionPtr revIDLastSave="0" documentId="13_ncr:1_{4D07782B-774D-410F-9145-9911B87A7746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ValidationData" sheetId="1" r:id="rId1"/>
    <sheet name="Sheet1" sheetId="3" r:id="rId2"/>
    <sheet name="workin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" l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00" i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53" i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2" i="1"/>
  <c r="F6" i="2"/>
  <c r="F7" i="2"/>
  <c r="F5" i="2"/>
  <c r="E5" i="2"/>
  <c r="E6" i="2"/>
  <c r="E7" i="2"/>
  <c r="C7" i="2"/>
  <c r="C6" i="2"/>
  <c r="C5" i="2"/>
</calcChain>
</file>

<file path=xl/sharedStrings.xml><?xml version="1.0" encoding="utf-8"?>
<sst xmlns="http://schemas.openxmlformats.org/spreadsheetml/2006/main" count="404" uniqueCount="24">
  <si>
    <t>SimulationName</t>
  </si>
  <si>
    <t>DaysOfFeed</t>
  </si>
  <si>
    <t>AssumedStartDate</t>
  </si>
  <si>
    <t>Stock.WeightAll</t>
  </si>
  <si>
    <t>TotalIntake</t>
  </si>
  <si>
    <t>LiveWtGain</t>
  </si>
  <si>
    <t>Stock.Intake.All</t>
  </si>
  <si>
    <t>Date</t>
  </si>
  <si>
    <t>Coleman</t>
  </si>
  <si>
    <t>EBW</t>
  </si>
  <si>
    <t>EBWI</t>
  </si>
  <si>
    <t>FeedDM/EMWI</t>
  </si>
  <si>
    <t>Days</t>
  </si>
  <si>
    <t>A</t>
  </si>
  <si>
    <t>E</t>
  </si>
  <si>
    <t>I</t>
  </si>
  <si>
    <t>M</t>
  </si>
  <si>
    <t>Treatment</t>
  </si>
  <si>
    <t>OMD55</t>
  </si>
  <si>
    <t>OMD62</t>
  </si>
  <si>
    <t>OMD69</t>
  </si>
  <si>
    <t>OMD76</t>
  </si>
  <si>
    <t>Stock.CFleeceWtAll</t>
  </si>
  <si>
    <t>Stock.CFleeceGrowthAll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</si>
</sst>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24DD0BE3-8793-4EFC-A3C7-8494F1C99A4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4"/>
  <sheetViews>
    <sheetView tabSelected="1" workbookViewId="0">
      <pane ySplit="1" topLeftCell="A155" activePane="bottomLeft" state="frozen"/>
      <selection pane="bottomLeft" activeCell="O164" sqref="O164"/>
    </sheetView>
  </sheetViews>
  <sheetFormatPr defaultRowHeight="15" x14ac:dyDescent="0.25"/>
  <cols>
    <col min="1" max="1" width="14.85546875" bestFit="1" customWidth="1"/>
    <col min="2" max="2" width="18.85546875" customWidth="1"/>
    <col min="3" max="3" width="10.140625" customWidth="1"/>
    <col min="4" max="4" width="9.140625" bestFit="1" customWidth="1"/>
    <col min="5" max="5" width="10.85546875" bestFit="1" customWidth="1"/>
    <col min="6" max="6" width="15" bestFit="1" customWidth="1"/>
    <col min="7" max="7" width="14.140625" bestFit="1" customWidth="1"/>
    <col min="14" max="14" width="14.42578125" bestFit="1" customWidth="1"/>
    <col min="15" max="15" width="13.7109375" bestFit="1" customWidth="1"/>
  </cols>
  <sheetData>
    <row r="1" spans="1:11" x14ac:dyDescent="0.25">
      <c r="A1" t="s">
        <v>0</v>
      </c>
      <c r="B1" t="s">
        <v>7</v>
      </c>
      <c r="C1" t="s">
        <v>17</v>
      </c>
      <c r="D1" t="s">
        <v>2</v>
      </c>
      <c r="E1" t="s">
        <v>1</v>
      </c>
      <c r="F1" t="s">
        <v>6</v>
      </c>
      <c r="G1" t="s">
        <v>3</v>
      </c>
      <c r="H1" t="s">
        <v>4</v>
      </c>
      <c r="I1" t="s">
        <v>5</v>
      </c>
      <c r="J1" t="s">
        <v>22</v>
      </c>
      <c r="K1" t="s">
        <v>23</v>
      </c>
    </row>
    <row r="2" spans="1:11" x14ac:dyDescent="0.25">
      <c r="A2" t="str">
        <f t="shared" ref="A2:A33" si="0">"Thomas2007"&amp;C2</f>
        <v>Thomas2007OMD55</v>
      </c>
      <c r="B2" s="1">
        <v>38642</v>
      </c>
      <c r="C2" s="3" t="s">
        <v>18</v>
      </c>
      <c r="D2" s="1"/>
      <c r="F2" s="3">
        <v>1315</v>
      </c>
      <c r="G2" s="3"/>
    </row>
    <row r="3" spans="1:11" x14ac:dyDescent="0.25">
      <c r="A3" t="str">
        <f t="shared" si="0"/>
        <v>Thomas2007OMD55</v>
      </c>
      <c r="B3" s="1">
        <f>B2+1</f>
        <v>38643</v>
      </c>
      <c r="C3" s="3" t="s">
        <v>18</v>
      </c>
      <c r="D3" s="1"/>
      <c r="F3" s="3">
        <v>1310</v>
      </c>
      <c r="G3" s="3"/>
    </row>
    <row r="4" spans="1:11" x14ac:dyDescent="0.25">
      <c r="A4" t="str">
        <f t="shared" si="0"/>
        <v>Thomas2007OMD55</v>
      </c>
      <c r="B4" s="1">
        <f t="shared" ref="B4:B63" si="1">B3+1</f>
        <v>38644</v>
      </c>
      <c r="C4" s="3" t="s">
        <v>18</v>
      </c>
      <c r="D4" s="1"/>
      <c r="F4" s="3">
        <v>1590</v>
      </c>
      <c r="G4" s="3"/>
    </row>
    <row r="5" spans="1:11" x14ac:dyDescent="0.25">
      <c r="A5" t="str">
        <f t="shared" si="0"/>
        <v>Thomas2007OMD55</v>
      </c>
      <c r="B5" s="1">
        <f t="shared" si="1"/>
        <v>38645</v>
      </c>
      <c r="C5" s="3" t="s">
        <v>18</v>
      </c>
      <c r="D5" s="1"/>
      <c r="F5" s="3">
        <v>1908</v>
      </c>
      <c r="G5" s="3"/>
    </row>
    <row r="6" spans="1:11" x14ac:dyDescent="0.25">
      <c r="A6" t="str">
        <f t="shared" si="0"/>
        <v>Thomas2007OMD55</v>
      </c>
      <c r="B6" s="1">
        <f t="shared" si="1"/>
        <v>38646</v>
      </c>
      <c r="C6" s="3" t="s">
        <v>18</v>
      </c>
      <c r="D6" s="1"/>
      <c r="F6" s="3">
        <v>1701</v>
      </c>
      <c r="G6" s="4">
        <v>53.6</v>
      </c>
      <c r="H6">
        <f t="shared" ref="H6:H48" si="2">H5+F6/1000</f>
        <v>1.7010000000000001</v>
      </c>
    </row>
    <row r="7" spans="1:11" x14ac:dyDescent="0.25">
      <c r="A7" t="str">
        <f t="shared" si="0"/>
        <v>Thomas2007OMD55</v>
      </c>
      <c r="B7" s="1">
        <f t="shared" si="1"/>
        <v>38647</v>
      </c>
      <c r="C7" s="3" t="s">
        <v>18</v>
      </c>
      <c r="D7" s="1"/>
      <c r="F7" s="3">
        <v>1661</v>
      </c>
      <c r="G7" s="3"/>
      <c r="H7">
        <f t="shared" si="2"/>
        <v>3.3620000000000001</v>
      </c>
    </row>
    <row r="8" spans="1:11" x14ac:dyDescent="0.25">
      <c r="A8" t="str">
        <f t="shared" si="0"/>
        <v>Thomas2007OMD55</v>
      </c>
      <c r="B8" s="1">
        <f t="shared" si="1"/>
        <v>38648</v>
      </c>
      <c r="C8" s="3" t="s">
        <v>18</v>
      </c>
      <c r="D8" s="1"/>
      <c r="F8" s="3">
        <v>1753</v>
      </c>
      <c r="G8" s="3"/>
      <c r="H8">
        <f t="shared" si="2"/>
        <v>5.1150000000000002</v>
      </c>
    </row>
    <row r="9" spans="1:11" x14ac:dyDescent="0.25">
      <c r="A9" t="str">
        <f t="shared" si="0"/>
        <v>Thomas2007OMD55</v>
      </c>
      <c r="B9" s="1">
        <f t="shared" si="1"/>
        <v>38649</v>
      </c>
      <c r="C9" s="3" t="s">
        <v>18</v>
      </c>
      <c r="D9" s="1"/>
      <c r="F9" s="3">
        <v>1655</v>
      </c>
      <c r="G9" s="3"/>
      <c r="H9">
        <f t="shared" si="2"/>
        <v>6.7700000000000005</v>
      </c>
    </row>
    <row r="10" spans="1:11" x14ac:dyDescent="0.25">
      <c r="A10" t="str">
        <f t="shared" si="0"/>
        <v>Thomas2007OMD55</v>
      </c>
      <c r="B10" s="1">
        <f t="shared" si="1"/>
        <v>38650</v>
      </c>
      <c r="C10" s="3" t="s">
        <v>18</v>
      </c>
      <c r="D10" s="1"/>
      <c r="F10" s="3">
        <v>1704</v>
      </c>
      <c r="G10" s="3"/>
      <c r="H10">
        <f t="shared" si="2"/>
        <v>8.4740000000000002</v>
      </c>
    </row>
    <row r="11" spans="1:11" x14ac:dyDescent="0.25">
      <c r="A11" t="str">
        <f t="shared" si="0"/>
        <v>Thomas2007OMD55</v>
      </c>
      <c r="B11" s="1">
        <f t="shared" si="1"/>
        <v>38651</v>
      </c>
      <c r="C11" s="3" t="s">
        <v>18</v>
      </c>
      <c r="D11" s="1"/>
      <c r="F11" s="3">
        <v>1529</v>
      </c>
      <c r="G11" s="3"/>
      <c r="H11">
        <f t="shared" si="2"/>
        <v>10.003</v>
      </c>
    </row>
    <row r="12" spans="1:11" x14ac:dyDescent="0.25">
      <c r="A12" t="str">
        <f t="shared" si="0"/>
        <v>Thomas2007OMD55</v>
      </c>
      <c r="B12" s="1">
        <f t="shared" si="1"/>
        <v>38652</v>
      </c>
      <c r="C12" s="3" t="s">
        <v>18</v>
      </c>
      <c r="D12" s="1"/>
      <c r="F12" s="3">
        <v>1729</v>
      </c>
      <c r="G12" s="3"/>
      <c r="H12">
        <f t="shared" si="2"/>
        <v>11.731999999999999</v>
      </c>
    </row>
    <row r="13" spans="1:11" x14ac:dyDescent="0.25">
      <c r="A13" t="str">
        <f t="shared" si="0"/>
        <v>Thomas2007OMD55</v>
      </c>
      <c r="B13" s="1">
        <f t="shared" si="1"/>
        <v>38653</v>
      </c>
      <c r="C13" s="3" t="s">
        <v>18</v>
      </c>
      <c r="D13" s="1"/>
      <c r="F13" s="3">
        <v>1716</v>
      </c>
      <c r="G13" s="4">
        <v>54.9</v>
      </c>
      <c r="H13">
        <f t="shared" si="2"/>
        <v>13.447999999999999</v>
      </c>
    </row>
    <row r="14" spans="1:11" x14ac:dyDescent="0.25">
      <c r="A14" t="str">
        <f t="shared" si="0"/>
        <v>Thomas2007OMD55</v>
      </c>
      <c r="B14" s="1">
        <f t="shared" si="1"/>
        <v>38654</v>
      </c>
      <c r="C14" s="3" t="s">
        <v>18</v>
      </c>
      <c r="D14" s="1"/>
      <c r="F14" s="3">
        <v>1549</v>
      </c>
      <c r="G14" s="3"/>
      <c r="H14">
        <f t="shared" si="2"/>
        <v>14.996999999999998</v>
      </c>
    </row>
    <row r="15" spans="1:11" x14ac:dyDescent="0.25">
      <c r="A15" t="str">
        <f t="shared" si="0"/>
        <v>Thomas2007OMD55</v>
      </c>
      <c r="B15" s="1">
        <f t="shared" si="1"/>
        <v>38655</v>
      </c>
      <c r="C15" s="3" t="s">
        <v>18</v>
      </c>
      <c r="D15" s="1"/>
      <c r="F15" s="3">
        <v>1847</v>
      </c>
      <c r="G15" s="3"/>
      <c r="H15">
        <f t="shared" si="2"/>
        <v>16.843999999999998</v>
      </c>
    </row>
    <row r="16" spans="1:11" x14ac:dyDescent="0.25">
      <c r="A16" t="str">
        <f t="shared" si="0"/>
        <v>Thomas2007OMD55</v>
      </c>
      <c r="B16" s="1">
        <f t="shared" si="1"/>
        <v>38656</v>
      </c>
      <c r="C16" s="3" t="s">
        <v>18</v>
      </c>
      <c r="D16" s="1"/>
      <c r="F16" s="3">
        <v>1572</v>
      </c>
      <c r="G16" s="3"/>
      <c r="H16">
        <f t="shared" si="2"/>
        <v>18.415999999999997</v>
      </c>
    </row>
    <row r="17" spans="1:11" x14ac:dyDescent="0.25">
      <c r="A17" t="str">
        <f t="shared" si="0"/>
        <v>Thomas2007OMD55</v>
      </c>
      <c r="B17" s="1">
        <f t="shared" si="1"/>
        <v>38657</v>
      </c>
      <c r="C17" s="3" t="s">
        <v>18</v>
      </c>
      <c r="D17" s="1"/>
      <c r="F17" s="3">
        <v>1371</v>
      </c>
      <c r="G17" s="3"/>
      <c r="H17">
        <f t="shared" si="2"/>
        <v>19.786999999999995</v>
      </c>
    </row>
    <row r="18" spans="1:11" x14ac:dyDescent="0.25">
      <c r="A18" t="str">
        <f t="shared" si="0"/>
        <v>Thomas2007OMD55</v>
      </c>
      <c r="B18" s="1">
        <f t="shared" si="1"/>
        <v>38658</v>
      </c>
      <c r="C18" s="3" t="s">
        <v>18</v>
      </c>
      <c r="D18" s="1"/>
      <c r="F18" s="3">
        <v>1531</v>
      </c>
      <c r="G18" s="3"/>
      <c r="H18">
        <f t="shared" si="2"/>
        <v>21.317999999999994</v>
      </c>
    </row>
    <row r="19" spans="1:11" x14ac:dyDescent="0.25">
      <c r="A19" t="str">
        <f t="shared" si="0"/>
        <v>Thomas2007OMD55</v>
      </c>
      <c r="B19" s="1">
        <f t="shared" si="1"/>
        <v>38659</v>
      </c>
      <c r="C19" s="3" t="s">
        <v>18</v>
      </c>
      <c r="D19" s="1"/>
      <c r="F19" s="3">
        <v>1539</v>
      </c>
      <c r="G19" s="3"/>
      <c r="H19">
        <f t="shared" si="2"/>
        <v>22.856999999999996</v>
      </c>
    </row>
    <row r="20" spans="1:11" x14ac:dyDescent="0.25">
      <c r="A20" t="str">
        <f t="shared" si="0"/>
        <v>Thomas2007OMD55</v>
      </c>
      <c r="B20" s="1">
        <f t="shared" si="1"/>
        <v>38660</v>
      </c>
      <c r="C20" s="3" t="s">
        <v>18</v>
      </c>
      <c r="D20" s="1"/>
      <c r="F20" s="3">
        <v>2143</v>
      </c>
      <c r="G20" s="4">
        <v>54</v>
      </c>
      <c r="H20">
        <f t="shared" si="2"/>
        <v>24.999999999999996</v>
      </c>
      <c r="J20">
        <v>0.69968785791308608</v>
      </c>
      <c r="K20">
        <v>1.7785400126356904E-2</v>
      </c>
    </row>
    <row r="21" spans="1:11" x14ac:dyDescent="0.25">
      <c r="A21" t="str">
        <f t="shared" si="0"/>
        <v>Thomas2007OMD55</v>
      </c>
      <c r="B21" s="1">
        <f t="shared" si="1"/>
        <v>38661</v>
      </c>
      <c r="C21" s="3" t="s">
        <v>18</v>
      </c>
      <c r="D21" s="1"/>
      <c r="F21" s="3">
        <v>1738</v>
      </c>
      <c r="G21" s="3"/>
      <c r="H21">
        <f t="shared" si="2"/>
        <v>26.737999999999996</v>
      </c>
    </row>
    <row r="22" spans="1:11" x14ac:dyDescent="0.25">
      <c r="A22" t="str">
        <f t="shared" si="0"/>
        <v>Thomas2007OMD55</v>
      </c>
      <c r="B22" s="1">
        <f t="shared" si="1"/>
        <v>38662</v>
      </c>
      <c r="C22" s="3" t="s">
        <v>18</v>
      </c>
      <c r="D22" s="1"/>
      <c r="F22" s="3">
        <v>1620</v>
      </c>
      <c r="G22" s="3"/>
      <c r="H22">
        <f t="shared" si="2"/>
        <v>28.357999999999997</v>
      </c>
    </row>
    <row r="23" spans="1:11" x14ac:dyDescent="0.25">
      <c r="A23" t="str">
        <f t="shared" si="0"/>
        <v>Thomas2007OMD55</v>
      </c>
      <c r="B23" s="1">
        <f t="shared" si="1"/>
        <v>38663</v>
      </c>
      <c r="C23" s="3" t="s">
        <v>18</v>
      </c>
      <c r="D23" s="1"/>
      <c r="F23" s="3">
        <v>1802</v>
      </c>
      <c r="G23" s="3"/>
      <c r="H23">
        <f t="shared" si="2"/>
        <v>30.159999999999997</v>
      </c>
    </row>
    <row r="24" spans="1:11" x14ac:dyDescent="0.25">
      <c r="A24" t="str">
        <f t="shared" si="0"/>
        <v>Thomas2007OMD55</v>
      </c>
      <c r="B24" s="1">
        <f t="shared" si="1"/>
        <v>38664</v>
      </c>
      <c r="C24" s="3" t="s">
        <v>18</v>
      </c>
      <c r="D24" s="1"/>
      <c r="F24" s="3">
        <v>1710</v>
      </c>
      <c r="G24" s="3"/>
      <c r="H24">
        <f t="shared" si="2"/>
        <v>31.869999999999997</v>
      </c>
    </row>
    <row r="25" spans="1:11" x14ac:dyDescent="0.25">
      <c r="A25" t="str">
        <f t="shared" si="0"/>
        <v>Thomas2007OMD55</v>
      </c>
      <c r="B25" s="1">
        <f t="shared" si="1"/>
        <v>38665</v>
      </c>
      <c r="C25" s="3" t="s">
        <v>18</v>
      </c>
      <c r="D25" s="1"/>
      <c r="F25" s="3">
        <v>1592</v>
      </c>
      <c r="G25" s="3"/>
      <c r="H25">
        <f t="shared" si="2"/>
        <v>33.461999999999996</v>
      </c>
    </row>
    <row r="26" spans="1:11" x14ac:dyDescent="0.25">
      <c r="A26" t="str">
        <f t="shared" si="0"/>
        <v>Thomas2007OMD55</v>
      </c>
      <c r="B26" s="1">
        <f t="shared" si="1"/>
        <v>38666</v>
      </c>
      <c r="C26" s="3" t="s">
        <v>18</v>
      </c>
      <c r="D26" s="1"/>
      <c r="F26" s="3">
        <v>1397</v>
      </c>
      <c r="G26" s="3"/>
      <c r="H26">
        <f t="shared" si="2"/>
        <v>34.858999999999995</v>
      </c>
    </row>
    <row r="27" spans="1:11" x14ac:dyDescent="0.25">
      <c r="A27" t="str">
        <f t="shared" si="0"/>
        <v>Thomas2007OMD55</v>
      </c>
      <c r="B27" s="1">
        <f t="shared" si="1"/>
        <v>38667</v>
      </c>
      <c r="C27" s="3" t="s">
        <v>18</v>
      </c>
      <c r="D27" s="1"/>
      <c r="F27" s="3">
        <v>1333</v>
      </c>
      <c r="G27" s="4">
        <v>55.5</v>
      </c>
      <c r="H27">
        <f t="shared" si="2"/>
        <v>36.191999999999993</v>
      </c>
    </row>
    <row r="28" spans="1:11" x14ac:dyDescent="0.25">
      <c r="A28" t="str">
        <f t="shared" si="0"/>
        <v>Thomas2007OMD55</v>
      </c>
      <c r="B28" s="1">
        <f t="shared" si="1"/>
        <v>38668</v>
      </c>
      <c r="C28" s="3" t="s">
        <v>18</v>
      </c>
      <c r="D28" s="1"/>
      <c r="F28" s="3">
        <v>1429</v>
      </c>
      <c r="G28" s="3"/>
      <c r="H28">
        <f t="shared" si="2"/>
        <v>37.620999999999995</v>
      </c>
    </row>
    <row r="29" spans="1:11" x14ac:dyDescent="0.25">
      <c r="A29" t="str">
        <f t="shared" si="0"/>
        <v>Thomas2007OMD55</v>
      </c>
      <c r="B29" s="1">
        <f t="shared" si="1"/>
        <v>38669</v>
      </c>
      <c r="C29" s="3" t="s">
        <v>18</v>
      </c>
      <c r="D29" s="1"/>
      <c r="F29" s="3">
        <v>1660</v>
      </c>
      <c r="G29" s="3"/>
      <c r="H29">
        <f t="shared" si="2"/>
        <v>39.280999999999992</v>
      </c>
    </row>
    <row r="30" spans="1:11" x14ac:dyDescent="0.25">
      <c r="A30" t="str">
        <f t="shared" si="0"/>
        <v>Thomas2007OMD55</v>
      </c>
      <c r="B30" s="1">
        <f t="shared" si="1"/>
        <v>38670</v>
      </c>
      <c r="C30" s="3" t="s">
        <v>18</v>
      </c>
      <c r="D30" s="1"/>
      <c r="F30" s="3">
        <v>1419</v>
      </c>
      <c r="G30" s="3"/>
      <c r="H30">
        <f t="shared" si="2"/>
        <v>40.699999999999989</v>
      </c>
    </row>
    <row r="31" spans="1:11" x14ac:dyDescent="0.25">
      <c r="A31" t="str">
        <f t="shared" si="0"/>
        <v>Thomas2007OMD55</v>
      </c>
      <c r="B31" s="1">
        <f t="shared" si="1"/>
        <v>38671</v>
      </c>
      <c r="C31" s="3" t="s">
        <v>18</v>
      </c>
      <c r="D31" s="1"/>
      <c r="F31" s="3">
        <v>1671</v>
      </c>
      <c r="G31" s="3"/>
      <c r="H31">
        <f t="shared" si="2"/>
        <v>42.370999999999988</v>
      </c>
    </row>
    <row r="32" spans="1:11" x14ac:dyDescent="0.25">
      <c r="A32" t="str">
        <f t="shared" si="0"/>
        <v>Thomas2007OMD55</v>
      </c>
      <c r="B32" s="1">
        <f t="shared" si="1"/>
        <v>38672</v>
      </c>
      <c r="C32" s="3" t="s">
        <v>18</v>
      </c>
      <c r="D32" s="1"/>
      <c r="F32" s="3">
        <v>1653</v>
      </c>
      <c r="G32" s="3"/>
      <c r="H32">
        <f t="shared" si="2"/>
        <v>44.023999999999987</v>
      </c>
    </row>
    <row r="33" spans="1:11" x14ac:dyDescent="0.25">
      <c r="A33" t="str">
        <f t="shared" si="0"/>
        <v>Thomas2007OMD55</v>
      </c>
      <c r="B33" s="1">
        <f t="shared" si="1"/>
        <v>38673</v>
      </c>
      <c r="C33" s="3" t="s">
        <v>18</v>
      </c>
      <c r="D33" s="1"/>
      <c r="F33" s="3">
        <v>1711</v>
      </c>
      <c r="G33" s="3"/>
      <c r="H33">
        <f t="shared" si="2"/>
        <v>45.734999999999985</v>
      </c>
    </row>
    <row r="34" spans="1:11" x14ac:dyDescent="0.25">
      <c r="A34" t="str">
        <f t="shared" ref="A34:A65" si="3">"Thomas2007"&amp;C34</f>
        <v>Thomas2007OMD55</v>
      </c>
      <c r="B34" s="1">
        <f t="shared" si="1"/>
        <v>38674</v>
      </c>
      <c r="C34" s="3" t="s">
        <v>18</v>
      </c>
      <c r="D34" s="1"/>
      <c r="F34" s="3">
        <v>1680</v>
      </c>
      <c r="G34" s="4">
        <v>55.3</v>
      </c>
      <c r="H34">
        <f t="shared" si="2"/>
        <v>47.414999999999985</v>
      </c>
    </row>
    <row r="35" spans="1:11" x14ac:dyDescent="0.25">
      <c r="A35" t="str">
        <f t="shared" si="3"/>
        <v>Thomas2007OMD55</v>
      </c>
      <c r="B35" s="1">
        <f t="shared" si="1"/>
        <v>38675</v>
      </c>
      <c r="C35" s="3" t="s">
        <v>18</v>
      </c>
      <c r="D35" s="1"/>
      <c r="F35" s="3">
        <v>1617</v>
      </c>
      <c r="G35" s="3"/>
      <c r="H35">
        <f t="shared" si="2"/>
        <v>49.031999999999982</v>
      </c>
    </row>
    <row r="36" spans="1:11" x14ac:dyDescent="0.25">
      <c r="A36" t="str">
        <f t="shared" si="3"/>
        <v>Thomas2007OMD55</v>
      </c>
      <c r="B36" s="1">
        <f t="shared" si="1"/>
        <v>38676</v>
      </c>
      <c r="C36" s="3" t="s">
        <v>18</v>
      </c>
      <c r="D36" s="1"/>
      <c r="F36" s="3">
        <v>1516</v>
      </c>
      <c r="G36" s="3"/>
      <c r="H36">
        <f t="shared" si="2"/>
        <v>50.547999999999981</v>
      </c>
    </row>
    <row r="37" spans="1:11" x14ac:dyDescent="0.25">
      <c r="A37" t="str">
        <f t="shared" si="3"/>
        <v>Thomas2007OMD55</v>
      </c>
      <c r="B37" s="1">
        <f t="shared" si="1"/>
        <v>38677</v>
      </c>
      <c r="C37" s="3" t="s">
        <v>18</v>
      </c>
      <c r="D37" s="1"/>
      <c r="F37" s="3">
        <v>1671</v>
      </c>
      <c r="G37" s="3"/>
      <c r="H37">
        <f t="shared" si="2"/>
        <v>52.21899999999998</v>
      </c>
    </row>
    <row r="38" spans="1:11" x14ac:dyDescent="0.25">
      <c r="A38" t="str">
        <f t="shared" si="3"/>
        <v>Thomas2007OMD55</v>
      </c>
      <c r="B38" s="1">
        <f t="shared" si="1"/>
        <v>38678</v>
      </c>
      <c r="C38" s="3" t="s">
        <v>18</v>
      </c>
      <c r="D38" s="1"/>
      <c r="F38" s="3">
        <v>1612</v>
      </c>
      <c r="G38" s="3"/>
      <c r="H38">
        <f t="shared" si="2"/>
        <v>53.830999999999982</v>
      </c>
    </row>
    <row r="39" spans="1:11" x14ac:dyDescent="0.25">
      <c r="A39" t="str">
        <f t="shared" si="3"/>
        <v>Thomas2007OMD55</v>
      </c>
      <c r="B39" s="1">
        <f t="shared" si="1"/>
        <v>38679</v>
      </c>
      <c r="C39" s="3" t="s">
        <v>18</v>
      </c>
      <c r="D39" s="1"/>
      <c r="F39" s="3">
        <v>1532</v>
      </c>
      <c r="G39" s="3"/>
      <c r="H39">
        <f t="shared" si="2"/>
        <v>55.362999999999985</v>
      </c>
    </row>
    <row r="40" spans="1:11" x14ac:dyDescent="0.25">
      <c r="A40" t="str">
        <f t="shared" si="3"/>
        <v>Thomas2007OMD55</v>
      </c>
      <c r="B40" s="1">
        <f t="shared" si="1"/>
        <v>38680</v>
      </c>
      <c r="C40" s="3" t="s">
        <v>18</v>
      </c>
      <c r="D40" s="1"/>
      <c r="F40" s="3">
        <v>1729</v>
      </c>
      <c r="G40" s="3"/>
      <c r="H40">
        <f t="shared" si="2"/>
        <v>57.091999999999985</v>
      </c>
    </row>
    <row r="41" spans="1:11" x14ac:dyDescent="0.25">
      <c r="A41" t="str">
        <f t="shared" si="3"/>
        <v>Thomas2007OMD55</v>
      </c>
      <c r="B41" s="1">
        <f t="shared" si="1"/>
        <v>38681</v>
      </c>
      <c r="C41" s="3" t="s">
        <v>18</v>
      </c>
      <c r="D41" s="1"/>
      <c r="F41" s="3">
        <v>1156</v>
      </c>
      <c r="G41" s="4">
        <v>55.7</v>
      </c>
      <c r="H41">
        <f t="shared" si="2"/>
        <v>58.247999999999983</v>
      </c>
      <c r="I41" s="2"/>
      <c r="J41">
        <v>0.9978542663362342</v>
      </c>
      <c r="K41">
        <v>1.4198400401102292E-2</v>
      </c>
    </row>
    <row r="42" spans="1:11" x14ac:dyDescent="0.25">
      <c r="A42" t="str">
        <f t="shared" si="3"/>
        <v>Thomas2007OMD55</v>
      </c>
      <c r="B42" s="1">
        <f t="shared" si="1"/>
        <v>38682</v>
      </c>
      <c r="C42" s="3" t="s">
        <v>18</v>
      </c>
      <c r="D42" s="1"/>
      <c r="F42" s="3">
        <v>1170</v>
      </c>
      <c r="G42" s="3"/>
      <c r="H42">
        <f t="shared" si="2"/>
        <v>59.417999999999985</v>
      </c>
      <c r="I42" s="2"/>
    </row>
    <row r="43" spans="1:11" x14ac:dyDescent="0.25">
      <c r="A43" t="str">
        <f t="shared" si="3"/>
        <v>Thomas2007OMD55</v>
      </c>
      <c r="B43" s="1">
        <f t="shared" si="1"/>
        <v>38683</v>
      </c>
      <c r="C43" s="3" t="s">
        <v>18</v>
      </c>
      <c r="D43" s="1"/>
      <c r="F43" s="3">
        <v>1419</v>
      </c>
      <c r="G43" s="3"/>
      <c r="H43">
        <f t="shared" si="2"/>
        <v>60.836999999999982</v>
      </c>
      <c r="I43" s="2"/>
    </row>
    <row r="44" spans="1:11" x14ac:dyDescent="0.25">
      <c r="A44" t="str">
        <f t="shared" si="3"/>
        <v>Thomas2007OMD55</v>
      </c>
      <c r="B44" s="1">
        <f t="shared" si="1"/>
        <v>38684</v>
      </c>
      <c r="C44" s="3" t="s">
        <v>18</v>
      </c>
      <c r="D44" s="1"/>
      <c r="F44" s="3">
        <v>1334</v>
      </c>
      <c r="G44" s="3"/>
      <c r="H44">
        <f t="shared" si="2"/>
        <v>62.170999999999985</v>
      </c>
      <c r="I44" s="2"/>
    </row>
    <row r="45" spans="1:11" x14ac:dyDescent="0.25">
      <c r="A45" t="str">
        <f t="shared" si="3"/>
        <v>Thomas2007OMD55</v>
      </c>
      <c r="B45" s="1">
        <f t="shared" si="1"/>
        <v>38685</v>
      </c>
      <c r="C45" s="3" t="s">
        <v>18</v>
      </c>
      <c r="D45" s="1"/>
      <c r="F45" s="3">
        <v>1205</v>
      </c>
      <c r="G45" s="3"/>
      <c r="H45">
        <f t="shared" si="2"/>
        <v>63.375999999999983</v>
      </c>
      <c r="I45" s="2"/>
    </row>
    <row r="46" spans="1:11" x14ac:dyDescent="0.25">
      <c r="A46" t="str">
        <f t="shared" si="3"/>
        <v>Thomas2007OMD55</v>
      </c>
      <c r="B46" s="1">
        <f t="shared" si="1"/>
        <v>38686</v>
      </c>
      <c r="C46" s="3" t="s">
        <v>18</v>
      </c>
      <c r="D46" s="1"/>
      <c r="F46" s="3">
        <v>1232</v>
      </c>
      <c r="G46" s="3"/>
      <c r="H46">
        <f t="shared" si="2"/>
        <v>64.60799999999999</v>
      </c>
      <c r="I46" s="2"/>
    </row>
    <row r="47" spans="1:11" x14ac:dyDescent="0.25">
      <c r="A47" t="str">
        <f t="shared" si="3"/>
        <v>Thomas2007OMD55</v>
      </c>
      <c r="B47" s="1">
        <f t="shared" si="1"/>
        <v>38687</v>
      </c>
      <c r="C47" s="3" t="s">
        <v>18</v>
      </c>
      <c r="D47" s="1"/>
      <c r="F47" s="3">
        <v>1227</v>
      </c>
      <c r="G47" s="3"/>
      <c r="H47">
        <f t="shared" si="2"/>
        <v>65.834999999999994</v>
      </c>
      <c r="I47" s="2"/>
    </row>
    <row r="48" spans="1:11" x14ac:dyDescent="0.25">
      <c r="A48" t="str">
        <f t="shared" si="3"/>
        <v>Thomas2007OMD55</v>
      </c>
      <c r="B48" s="1">
        <f t="shared" si="1"/>
        <v>38688</v>
      </c>
      <c r="C48" s="3" t="s">
        <v>18</v>
      </c>
      <c r="D48" s="1"/>
      <c r="F48" s="3">
        <v>1172</v>
      </c>
      <c r="G48" s="4">
        <v>54.4</v>
      </c>
      <c r="H48">
        <f t="shared" si="2"/>
        <v>67.006999999999991</v>
      </c>
      <c r="I48" s="2"/>
    </row>
    <row r="49" spans="1:8" x14ac:dyDescent="0.25">
      <c r="A49" t="str">
        <f t="shared" si="3"/>
        <v>Thomas2007OMD62</v>
      </c>
      <c r="B49" s="1">
        <v>38642</v>
      </c>
      <c r="C49" s="3" t="s">
        <v>19</v>
      </c>
      <c r="D49" s="1"/>
      <c r="F49" s="3">
        <v>1911</v>
      </c>
      <c r="G49" s="4"/>
    </row>
    <row r="50" spans="1:8" x14ac:dyDescent="0.25">
      <c r="A50" t="str">
        <f t="shared" si="3"/>
        <v>Thomas2007OMD62</v>
      </c>
      <c r="B50" s="1">
        <f t="shared" si="1"/>
        <v>38643</v>
      </c>
      <c r="C50" s="3" t="s">
        <v>19</v>
      </c>
      <c r="F50" s="3">
        <v>1909</v>
      </c>
      <c r="G50" s="3"/>
    </row>
    <row r="51" spans="1:8" x14ac:dyDescent="0.25">
      <c r="A51" t="str">
        <f t="shared" si="3"/>
        <v>Thomas2007OMD62</v>
      </c>
      <c r="B51" s="1">
        <f t="shared" si="1"/>
        <v>38644</v>
      </c>
      <c r="C51" s="3" t="s">
        <v>19</v>
      </c>
      <c r="F51" s="3">
        <v>1899</v>
      </c>
      <c r="G51" s="3"/>
    </row>
    <row r="52" spans="1:8" x14ac:dyDescent="0.25">
      <c r="A52" t="str">
        <f t="shared" si="3"/>
        <v>Thomas2007OMD62</v>
      </c>
      <c r="B52" s="1">
        <f t="shared" si="1"/>
        <v>38645</v>
      </c>
      <c r="C52" s="3" t="s">
        <v>19</v>
      </c>
      <c r="F52" s="3">
        <v>2003</v>
      </c>
      <c r="G52" s="3"/>
    </row>
    <row r="53" spans="1:8" x14ac:dyDescent="0.25">
      <c r="A53" t="str">
        <f t="shared" si="3"/>
        <v>Thomas2007OMD62</v>
      </c>
      <c r="B53" s="1">
        <f t="shared" si="1"/>
        <v>38646</v>
      </c>
      <c r="C53" s="3" t="s">
        <v>19</v>
      </c>
      <c r="F53" s="3">
        <v>1858</v>
      </c>
      <c r="G53" s="4">
        <v>53.3</v>
      </c>
      <c r="H53">
        <f t="shared" ref="H53:H95" si="4">H52+F53/1000</f>
        <v>1.8580000000000001</v>
      </c>
    </row>
    <row r="54" spans="1:8" x14ac:dyDescent="0.25">
      <c r="A54" t="str">
        <f t="shared" si="3"/>
        <v>Thomas2007OMD62</v>
      </c>
      <c r="B54" s="1">
        <f t="shared" si="1"/>
        <v>38647</v>
      </c>
      <c r="C54" s="3" t="s">
        <v>19</v>
      </c>
      <c r="F54" s="3">
        <v>1765</v>
      </c>
      <c r="G54" s="3"/>
      <c r="H54">
        <f t="shared" si="4"/>
        <v>3.6230000000000002</v>
      </c>
    </row>
    <row r="55" spans="1:8" x14ac:dyDescent="0.25">
      <c r="A55" t="str">
        <f t="shared" si="3"/>
        <v>Thomas2007OMD62</v>
      </c>
      <c r="B55" s="1">
        <f t="shared" si="1"/>
        <v>38648</v>
      </c>
      <c r="C55" s="3" t="s">
        <v>19</v>
      </c>
      <c r="F55" s="3">
        <v>1953</v>
      </c>
      <c r="G55" s="3"/>
      <c r="H55">
        <f t="shared" si="4"/>
        <v>5.5760000000000005</v>
      </c>
    </row>
    <row r="56" spans="1:8" x14ac:dyDescent="0.25">
      <c r="A56" t="str">
        <f t="shared" si="3"/>
        <v>Thomas2007OMD62</v>
      </c>
      <c r="B56" s="1">
        <f t="shared" si="1"/>
        <v>38649</v>
      </c>
      <c r="C56" s="3" t="s">
        <v>19</v>
      </c>
      <c r="F56" s="3">
        <v>1921</v>
      </c>
      <c r="G56" s="3"/>
      <c r="H56">
        <f t="shared" si="4"/>
        <v>7.4970000000000008</v>
      </c>
    </row>
    <row r="57" spans="1:8" x14ac:dyDescent="0.25">
      <c r="A57" t="str">
        <f t="shared" si="3"/>
        <v>Thomas2007OMD62</v>
      </c>
      <c r="B57" s="1">
        <f t="shared" si="1"/>
        <v>38650</v>
      </c>
      <c r="C57" s="3" t="s">
        <v>19</v>
      </c>
      <c r="F57" s="3">
        <v>1761</v>
      </c>
      <c r="G57" s="3"/>
      <c r="H57">
        <f t="shared" si="4"/>
        <v>9.2580000000000009</v>
      </c>
    </row>
    <row r="58" spans="1:8" x14ac:dyDescent="0.25">
      <c r="A58" t="str">
        <f t="shared" si="3"/>
        <v>Thomas2007OMD62</v>
      </c>
      <c r="B58" s="1">
        <f t="shared" si="1"/>
        <v>38651</v>
      </c>
      <c r="C58" s="3" t="s">
        <v>19</v>
      </c>
      <c r="F58" s="3">
        <v>1894</v>
      </c>
      <c r="G58" s="3"/>
      <c r="H58">
        <f t="shared" si="4"/>
        <v>11.152000000000001</v>
      </c>
    </row>
    <row r="59" spans="1:8" x14ac:dyDescent="0.25">
      <c r="A59" t="str">
        <f t="shared" si="3"/>
        <v>Thomas2007OMD62</v>
      </c>
      <c r="B59" s="1">
        <f t="shared" si="1"/>
        <v>38652</v>
      </c>
      <c r="C59" s="3" t="s">
        <v>19</v>
      </c>
      <c r="F59" s="3">
        <v>1856</v>
      </c>
      <c r="G59" s="3"/>
      <c r="H59">
        <f t="shared" si="4"/>
        <v>13.008000000000001</v>
      </c>
    </row>
    <row r="60" spans="1:8" x14ac:dyDescent="0.25">
      <c r="A60" t="str">
        <f t="shared" si="3"/>
        <v>Thomas2007OMD62</v>
      </c>
      <c r="B60" s="1">
        <f t="shared" si="1"/>
        <v>38653</v>
      </c>
      <c r="C60" s="3" t="s">
        <v>19</v>
      </c>
      <c r="F60" s="3">
        <v>1719</v>
      </c>
      <c r="G60" s="4">
        <v>54.1</v>
      </c>
      <c r="H60">
        <f t="shared" si="4"/>
        <v>14.727</v>
      </c>
    </row>
    <row r="61" spans="1:8" x14ac:dyDescent="0.25">
      <c r="A61" t="str">
        <f t="shared" si="3"/>
        <v>Thomas2007OMD62</v>
      </c>
      <c r="B61" s="1">
        <f t="shared" si="1"/>
        <v>38654</v>
      </c>
      <c r="C61" s="3" t="s">
        <v>19</v>
      </c>
      <c r="F61" s="3">
        <v>1888</v>
      </c>
      <c r="G61" s="3"/>
      <c r="H61">
        <f t="shared" si="4"/>
        <v>16.615000000000002</v>
      </c>
    </row>
    <row r="62" spans="1:8" x14ac:dyDescent="0.25">
      <c r="A62" t="str">
        <f t="shared" si="3"/>
        <v>Thomas2007OMD62</v>
      </c>
      <c r="B62" s="1">
        <f t="shared" si="1"/>
        <v>38655</v>
      </c>
      <c r="C62" s="3" t="s">
        <v>19</v>
      </c>
      <c r="F62" s="3">
        <v>1907</v>
      </c>
      <c r="G62" s="3"/>
      <c r="H62">
        <f t="shared" si="4"/>
        <v>18.522000000000002</v>
      </c>
    </row>
    <row r="63" spans="1:8" x14ac:dyDescent="0.25">
      <c r="A63" t="str">
        <f t="shared" si="3"/>
        <v>Thomas2007OMD62</v>
      </c>
      <c r="B63" s="1">
        <f t="shared" si="1"/>
        <v>38656</v>
      </c>
      <c r="C63" s="3" t="s">
        <v>19</v>
      </c>
      <c r="F63" s="3">
        <v>1890</v>
      </c>
      <c r="G63" s="3"/>
      <c r="H63">
        <f t="shared" si="4"/>
        <v>20.412000000000003</v>
      </c>
    </row>
    <row r="64" spans="1:8" x14ac:dyDescent="0.25">
      <c r="A64" t="str">
        <f t="shared" si="3"/>
        <v>Thomas2007OMD62</v>
      </c>
      <c r="B64" s="1">
        <f t="shared" ref="B64:B123" si="5">B63+1</f>
        <v>38657</v>
      </c>
      <c r="C64" s="3" t="s">
        <v>19</v>
      </c>
      <c r="F64" s="3">
        <v>1510</v>
      </c>
      <c r="G64" s="3"/>
      <c r="H64">
        <f t="shared" si="4"/>
        <v>21.922000000000004</v>
      </c>
    </row>
    <row r="65" spans="1:11" x14ac:dyDescent="0.25">
      <c r="A65" t="str">
        <f t="shared" si="3"/>
        <v>Thomas2007OMD62</v>
      </c>
      <c r="B65" s="1">
        <f t="shared" si="5"/>
        <v>38658</v>
      </c>
      <c r="C65" s="3" t="s">
        <v>19</v>
      </c>
      <c r="F65" s="3">
        <v>1924</v>
      </c>
      <c r="G65" s="3"/>
      <c r="H65">
        <f t="shared" si="4"/>
        <v>23.846000000000004</v>
      </c>
    </row>
    <row r="66" spans="1:11" x14ac:dyDescent="0.25">
      <c r="A66" t="str">
        <f t="shared" ref="A66:A97" si="6">"Thomas2007"&amp;C66</f>
        <v>Thomas2007OMD62</v>
      </c>
      <c r="B66" s="1">
        <f t="shared" si="5"/>
        <v>38659</v>
      </c>
      <c r="C66" s="3" t="s">
        <v>19</v>
      </c>
      <c r="F66" s="3">
        <v>1700</v>
      </c>
      <c r="G66" s="3"/>
      <c r="H66">
        <f t="shared" si="4"/>
        <v>25.546000000000003</v>
      </c>
    </row>
    <row r="67" spans="1:11" x14ac:dyDescent="0.25">
      <c r="A67" t="str">
        <f t="shared" si="6"/>
        <v>Thomas2007OMD62</v>
      </c>
      <c r="B67" s="1">
        <f t="shared" si="5"/>
        <v>38660</v>
      </c>
      <c r="C67" s="3" t="s">
        <v>19</v>
      </c>
      <c r="F67" s="3">
        <v>1924</v>
      </c>
      <c r="G67" s="4">
        <v>54.8</v>
      </c>
      <c r="H67">
        <f t="shared" si="4"/>
        <v>27.470000000000002</v>
      </c>
      <c r="J67">
        <v>0.53480966591716261</v>
      </c>
      <c r="K67">
        <v>1.420663530039396E-2</v>
      </c>
    </row>
    <row r="68" spans="1:11" x14ac:dyDescent="0.25">
      <c r="A68" t="str">
        <f t="shared" si="6"/>
        <v>Thomas2007OMD62</v>
      </c>
      <c r="B68" s="1">
        <f t="shared" si="5"/>
        <v>38661</v>
      </c>
      <c r="C68" s="3" t="s">
        <v>19</v>
      </c>
      <c r="F68" s="3">
        <v>1731</v>
      </c>
      <c r="G68" s="3"/>
      <c r="H68">
        <f t="shared" si="4"/>
        <v>29.201000000000004</v>
      </c>
    </row>
    <row r="69" spans="1:11" x14ac:dyDescent="0.25">
      <c r="A69" t="str">
        <f t="shared" si="6"/>
        <v>Thomas2007OMD62</v>
      </c>
      <c r="B69" s="1">
        <f t="shared" si="5"/>
        <v>38662</v>
      </c>
      <c r="C69" s="3" t="s">
        <v>19</v>
      </c>
      <c r="F69" s="3">
        <v>1989</v>
      </c>
      <c r="G69" s="3"/>
      <c r="H69">
        <f t="shared" si="4"/>
        <v>31.190000000000005</v>
      </c>
    </row>
    <row r="70" spans="1:11" x14ac:dyDescent="0.25">
      <c r="A70" t="str">
        <f t="shared" si="6"/>
        <v>Thomas2007OMD62</v>
      </c>
      <c r="B70" s="1">
        <f t="shared" si="5"/>
        <v>38663</v>
      </c>
      <c r="C70" s="3" t="s">
        <v>19</v>
      </c>
      <c r="F70" s="3">
        <v>1896</v>
      </c>
      <c r="G70" s="3"/>
      <c r="H70">
        <f t="shared" si="4"/>
        <v>33.086000000000006</v>
      </c>
    </row>
    <row r="71" spans="1:11" x14ac:dyDescent="0.25">
      <c r="A71" t="str">
        <f t="shared" si="6"/>
        <v>Thomas2007OMD62</v>
      </c>
      <c r="B71" s="1">
        <f t="shared" si="5"/>
        <v>38664</v>
      </c>
      <c r="C71" s="3" t="s">
        <v>19</v>
      </c>
      <c r="F71" s="3">
        <v>1745</v>
      </c>
      <c r="G71" s="3"/>
      <c r="H71">
        <f t="shared" si="4"/>
        <v>34.831000000000003</v>
      </c>
    </row>
    <row r="72" spans="1:11" x14ac:dyDescent="0.25">
      <c r="A72" t="str">
        <f t="shared" si="6"/>
        <v>Thomas2007OMD62</v>
      </c>
      <c r="B72" s="1">
        <f t="shared" si="5"/>
        <v>38665</v>
      </c>
      <c r="C72" s="3" t="s">
        <v>19</v>
      </c>
      <c r="F72" s="3">
        <v>1859</v>
      </c>
      <c r="G72" s="3"/>
      <c r="H72">
        <f t="shared" si="4"/>
        <v>36.690000000000005</v>
      </c>
    </row>
    <row r="73" spans="1:11" x14ac:dyDescent="0.25">
      <c r="A73" t="str">
        <f t="shared" si="6"/>
        <v>Thomas2007OMD62</v>
      </c>
      <c r="B73" s="1">
        <f t="shared" si="5"/>
        <v>38666</v>
      </c>
      <c r="C73" s="3" t="s">
        <v>19</v>
      </c>
      <c r="F73" s="3">
        <v>1949</v>
      </c>
      <c r="G73" s="3"/>
      <c r="H73">
        <f t="shared" si="4"/>
        <v>38.639000000000003</v>
      </c>
    </row>
    <row r="74" spans="1:11" x14ac:dyDescent="0.25">
      <c r="A74" t="str">
        <f t="shared" si="6"/>
        <v>Thomas2007OMD62</v>
      </c>
      <c r="B74" s="1">
        <f t="shared" si="5"/>
        <v>38667</v>
      </c>
      <c r="C74" s="3" t="s">
        <v>19</v>
      </c>
      <c r="F74" s="3">
        <v>1865</v>
      </c>
      <c r="G74" s="4">
        <v>55.8</v>
      </c>
      <c r="H74">
        <f t="shared" si="4"/>
        <v>40.504000000000005</v>
      </c>
    </row>
    <row r="75" spans="1:11" x14ac:dyDescent="0.25">
      <c r="A75" t="str">
        <f t="shared" si="6"/>
        <v>Thomas2007OMD62</v>
      </c>
      <c r="B75" s="1">
        <f t="shared" si="5"/>
        <v>38668</v>
      </c>
      <c r="C75" s="3" t="s">
        <v>19</v>
      </c>
      <c r="F75" s="3">
        <v>1920</v>
      </c>
      <c r="G75" s="3"/>
      <c r="H75">
        <f t="shared" si="4"/>
        <v>42.424000000000007</v>
      </c>
    </row>
    <row r="76" spans="1:11" x14ac:dyDescent="0.25">
      <c r="A76" t="str">
        <f t="shared" si="6"/>
        <v>Thomas2007OMD62</v>
      </c>
      <c r="B76" s="1">
        <f t="shared" si="5"/>
        <v>38669</v>
      </c>
      <c r="C76" s="3" t="s">
        <v>19</v>
      </c>
      <c r="F76" s="3">
        <v>1846</v>
      </c>
      <c r="G76" s="3"/>
      <c r="H76">
        <f t="shared" si="4"/>
        <v>44.27000000000001</v>
      </c>
    </row>
    <row r="77" spans="1:11" x14ac:dyDescent="0.25">
      <c r="A77" t="str">
        <f t="shared" si="6"/>
        <v>Thomas2007OMD62</v>
      </c>
      <c r="B77" s="1">
        <f t="shared" si="5"/>
        <v>38670</v>
      </c>
      <c r="C77" s="3" t="s">
        <v>19</v>
      </c>
      <c r="F77" s="3">
        <v>1790</v>
      </c>
      <c r="G77" s="3"/>
      <c r="H77">
        <f t="shared" si="4"/>
        <v>46.060000000000009</v>
      </c>
    </row>
    <row r="78" spans="1:11" x14ac:dyDescent="0.25">
      <c r="A78" t="str">
        <f t="shared" si="6"/>
        <v>Thomas2007OMD62</v>
      </c>
      <c r="B78" s="1">
        <f t="shared" si="5"/>
        <v>38671</v>
      </c>
      <c r="C78" s="3" t="s">
        <v>19</v>
      </c>
      <c r="F78" s="3">
        <v>1748</v>
      </c>
      <c r="G78" s="3"/>
      <c r="H78">
        <f t="shared" si="4"/>
        <v>47.808000000000007</v>
      </c>
    </row>
    <row r="79" spans="1:11" x14ac:dyDescent="0.25">
      <c r="A79" t="str">
        <f t="shared" si="6"/>
        <v>Thomas2007OMD62</v>
      </c>
      <c r="B79" s="1">
        <f t="shared" si="5"/>
        <v>38672</v>
      </c>
      <c r="C79" s="3" t="s">
        <v>19</v>
      </c>
      <c r="F79" s="3">
        <v>1807</v>
      </c>
      <c r="G79" s="3"/>
      <c r="H79">
        <f t="shared" si="4"/>
        <v>49.615000000000009</v>
      </c>
    </row>
    <row r="80" spans="1:11" x14ac:dyDescent="0.25">
      <c r="A80" t="str">
        <f t="shared" si="6"/>
        <v>Thomas2007OMD62</v>
      </c>
      <c r="B80" s="1">
        <f t="shared" si="5"/>
        <v>38673</v>
      </c>
      <c r="C80" s="3" t="s">
        <v>19</v>
      </c>
      <c r="F80" s="3">
        <v>1869</v>
      </c>
      <c r="G80" s="3"/>
      <c r="H80">
        <f t="shared" si="4"/>
        <v>51.484000000000009</v>
      </c>
    </row>
    <row r="81" spans="1:11" x14ac:dyDescent="0.25">
      <c r="A81" t="str">
        <f t="shared" si="6"/>
        <v>Thomas2007OMD62</v>
      </c>
      <c r="B81" s="1">
        <f t="shared" si="5"/>
        <v>38674</v>
      </c>
      <c r="C81" s="3" t="s">
        <v>19</v>
      </c>
      <c r="F81" s="3">
        <v>1696</v>
      </c>
      <c r="G81" s="4">
        <v>56.5</v>
      </c>
      <c r="H81">
        <f t="shared" si="4"/>
        <v>53.180000000000007</v>
      </c>
    </row>
    <row r="82" spans="1:11" x14ac:dyDescent="0.25">
      <c r="A82" t="str">
        <f t="shared" si="6"/>
        <v>Thomas2007OMD62</v>
      </c>
      <c r="B82" s="1">
        <f t="shared" si="5"/>
        <v>38675</v>
      </c>
      <c r="C82" s="3" t="s">
        <v>19</v>
      </c>
      <c r="F82" s="3">
        <v>2045</v>
      </c>
      <c r="G82" s="3"/>
      <c r="H82">
        <f t="shared" si="4"/>
        <v>55.225000000000009</v>
      </c>
    </row>
    <row r="83" spans="1:11" x14ac:dyDescent="0.25">
      <c r="A83" t="str">
        <f t="shared" si="6"/>
        <v>Thomas2007OMD62</v>
      </c>
      <c r="B83" s="1">
        <f t="shared" si="5"/>
        <v>38676</v>
      </c>
      <c r="C83" s="3" t="s">
        <v>19</v>
      </c>
      <c r="F83" s="3">
        <v>1786</v>
      </c>
      <c r="G83" s="3"/>
      <c r="H83">
        <f t="shared" si="4"/>
        <v>57.01100000000001</v>
      </c>
    </row>
    <row r="84" spans="1:11" x14ac:dyDescent="0.25">
      <c r="A84" t="str">
        <f t="shared" si="6"/>
        <v>Thomas2007OMD62</v>
      </c>
      <c r="B84" s="1">
        <f t="shared" si="5"/>
        <v>38677</v>
      </c>
      <c r="C84" s="3" t="s">
        <v>19</v>
      </c>
      <c r="F84" s="3">
        <v>1865</v>
      </c>
      <c r="G84" s="3"/>
      <c r="H84">
        <f t="shared" si="4"/>
        <v>58.876000000000012</v>
      </c>
    </row>
    <row r="85" spans="1:11" x14ac:dyDescent="0.25">
      <c r="A85" t="str">
        <f t="shared" si="6"/>
        <v>Thomas2007OMD62</v>
      </c>
      <c r="B85" s="1">
        <f t="shared" si="5"/>
        <v>38678</v>
      </c>
      <c r="C85" s="3" t="s">
        <v>19</v>
      </c>
      <c r="F85" s="3">
        <v>1770</v>
      </c>
      <c r="G85" s="3"/>
      <c r="H85">
        <f t="shared" si="4"/>
        <v>60.646000000000015</v>
      </c>
    </row>
    <row r="86" spans="1:11" x14ac:dyDescent="0.25">
      <c r="A86" t="str">
        <f t="shared" si="6"/>
        <v>Thomas2007OMD62</v>
      </c>
      <c r="B86" s="1">
        <f t="shared" si="5"/>
        <v>38679</v>
      </c>
      <c r="C86" s="3" t="s">
        <v>19</v>
      </c>
      <c r="F86" s="3">
        <v>1772</v>
      </c>
      <c r="G86" s="3"/>
      <c r="H86">
        <f t="shared" si="4"/>
        <v>62.418000000000013</v>
      </c>
    </row>
    <row r="87" spans="1:11" x14ac:dyDescent="0.25">
      <c r="A87" t="str">
        <f t="shared" si="6"/>
        <v>Thomas2007OMD62</v>
      </c>
      <c r="B87" s="1">
        <f t="shared" si="5"/>
        <v>38680</v>
      </c>
      <c r="C87" s="3" t="s">
        <v>19</v>
      </c>
      <c r="F87" s="3">
        <v>1780</v>
      </c>
      <c r="G87" s="3"/>
      <c r="H87">
        <f t="shared" si="4"/>
        <v>64.198000000000008</v>
      </c>
    </row>
    <row r="88" spans="1:11" x14ac:dyDescent="0.25">
      <c r="A88" t="str">
        <f t="shared" si="6"/>
        <v>Thomas2007OMD62</v>
      </c>
      <c r="B88" s="1">
        <f t="shared" si="5"/>
        <v>38681</v>
      </c>
      <c r="C88" s="3" t="s">
        <v>19</v>
      </c>
      <c r="F88" s="3">
        <v>1296</v>
      </c>
      <c r="G88" s="4">
        <v>57.6</v>
      </c>
      <c r="H88">
        <f t="shared" si="4"/>
        <v>65.494000000000014</v>
      </c>
      <c r="J88">
        <v>0.83420084909792858</v>
      </c>
      <c r="K88">
        <v>1.4256723008607903E-2</v>
      </c>
    </row>
    <row r="89" spans="1:11" x14ac:dyDescent="0.25">
      <c r="A89" t="str">
        <f t="shared" si="6"/>
        <v>Thomas2007OMD62</v>
      </c>
      <c r="B89" s="1">
        <f t="shared" si="5"/>
        <v>38682</v>
      </c>
      <c r="C89" s="3" t="s">
        <v>19</v>
      </c>
      <c r="F89" s="3">
        <v>1370</v>
      </c>
      <c r="G89" s="3"/>
      <c r="H89">
        <f t="shared" si="4"/>
        <v>66.864000000000019</v>
      </c>
    </row>
    <row r="90" spans="1:11" x14ac:dyDescent="0.25">
      <c r="A90" t="str">
        <f t="shared" si="6"/>
        <v>Thomas2007OMD62</v>
      </c>
      <c r="B90" s="1">
        <f t="shared" si="5"/>
        <v>38683</v>
      </c>
      <c r="C90" s="3" t="s">
        <v>19</v>
      </c>
      <c r="F90" s="3">
        <v>929</v>
      </c>
      <c r="G90" s="3"/>
      <c r="H90">
        <f t="shared" si="4"/>
        <v>67.793000000000021</v>
      </c>
    </row>
    <row r="91" spans="1:11" x14ac:dyDescent="0.25">
      <c r="A91" t="str">
        <f t="shared" si="6"/>
        <v>Thomas2007OMD62</v>
      </c>
      <c r="B91" s="1">
        <f t="shared" si="5"/>
        <v>38684</v>
      </c>
      <c r="C91" s="3" t="s">
        <v>19</v>
      </c>
      <c r="F91" s="3">
        <v>1078</v>
      </c>
      <c r="G91" s="3"/>
      <c r="H91">
        <f t="shared" si="4"/>
        <v>68.871000000000024</v>
      </c>
    </row>
    <row r="92" spans="1:11" x14ac:dyDescent="0.25">
      <c r="A92" t="str">
        <f t="shared" si="6"/>
        <v>Thomas2007OMD62</v>
      </c>
      <c r="B92" s="1">
        <f t="shared" si="5"/>
        <v>38685</v>
      </c>
      <c r="C92" s="3" t="s">
        <v>19</v>
      </c>
      <c r="F92" s="3">
        <v>1312</v>
      </c>
      <c r="G92" s="3"/>
      <c r="H92">
        <f t="shared" si="4"/>
        <v>70.183000000000021</v>
      </c>
    </row>
    <row r="93" spans="1:11" x14ac:dyDescent="0.25">
      <c r="A93" t="str">
        <f t="shared" si="6"/>
        <v>Thomas2007OMD62</v>
      </c>
      <c r="B93" s="1">
        <f t="shared" si="5"/>
        <v>38686</v>
      </c>
      <c r="C93" s="3" t="s">
        <v>19</v>
      </c>
      <c r="F93" s="3">
        <v>1241</v>
      </c>
      <c r="G93" s="3"/>
      <c r="H93">
        <f t="shared" si="4"/>
        <v>71.424000000000021</v>
      </c>
    </row>
    <row r="94" spans="1:11" x14ac:dyDescent="0.25">
      <c r="A94" t="str">
        <f t="shared" si="6"/>
        <v>Thomas2007OMD62</v>
      </c>
      <c r="B94" s="1">
        <f t="shared" si="5"/>
        <v>38687</v>
      </c>
      <c r="C94" s="3" t="s">
        <v>19</v>
      </c>
      <c r="F94" s="3">
        <v>1249</v>
      </c>
      <c r="G94" s="3"/>
      <c r="H94">
        <f t="shared" si="4"/>
        <v>72.673000000000016</v>
      </c>
    </row>
    <row r="95" spans="1:11" x14ac:dyDescent="0.25">
      <c r="A95" t="str">
        <f t="shared" si="6"/>
        <v>Thomas2007OMD62</v>
      </c>
      <c r="B95" s="1">
        <f t="shared" si="5"/>
        <v>38688</v>
      </c>
      <c r="C95" s="3" t="s">
        <v>19</v>
      </c>
      <c r="F95" s="3">
        <v>1163</v>
      </c>
      <c r="G95" s="4">
        <v>52.2</v>
      </c>
      <c r="H95">
        <f t="shared" si="4"/>
        <v>73.836000000000013</v>
      </c>
    </row>
    <row r="96" spans="1:11" x14ac:dyDescent="0.25">
      <c r="A96" t="str">
        <f t="shared" si="6"/>
        <v>Thomas2007OMD69</v>
      </c>
      <c r="B96" s="1">
        <v>38642</v>
      </c>
      <c r="C96" s="3" t="s">
        <v>20</v>
      </c>
      <c r="F96" s="3">
        <v>2110</v>
      </c>
      <c r="G96" s="4"/>
    </row>
    <row r="97" spans="1:8" x14ac:dyDescent="0.25">
      <c r="A97" t="str">
        <f t="shared" si="6"/>
        <v>Thomas2007OMD69</v>
      </c>
      <c r="B97" s="1">
        <f t="shared" si="5"/>
        <v>38643</v>
      </c>
      <c r="C97" s="3" t="s">
        <v>20</v>
      </c>
      <c r="F97" s="3">
        <v>1863</v>
      </c>
      <c r="G97" s="3"/>
    </row>
    <row r="98" spans="1:8" x14ac:dyDescent="0.25">
      <c r="A98" t="str">
        <f t="shared" ref="A98:A129" si="7">"Thomas2007"&amp;C98</f>
        <v>Thomas2007OMD69</v>
      </c>
      <c r="B98" s="1">
        <f t="shared" si="5"/>
        <v>38644</v>
      </c>
      <c r="C98" s="3" t="s">
        <v>20</v>
      </c>
      <c r="F98" s="3">
        <v>1937</v>
      </c>
      <c r="G98" s="3"/>
    </row>
    <row r="99" spans="1:8" x14ac:dyDescent="0.25">
      <c r="A99" t="str">
        <f t="shared" si="7"/>
        <v>Thomas2007OMD69</v>
      </c>
      <c r="B99" s="1">
        <f t="shared" si="5"/>
        <v>38645</v>
      </c>
      <c r="C99" s="3" t="s">
        <v>20</v>
      </c>
      <c r="F99" s="3">
        <v>2201</v>
      </c>
      <c r="G99" s="3"/>
    </row>
    <row r="100" spans="1:8" x14ac:dyDescent="0.25">
      <c r="A100" t="str">
        <f t="shared" si="7"/>
        <v>Thomas2007OMD69</v>
      </c>
      <c r="B100" s="1">
        <f t="shared" si="5"/>
        <v>38646</v>
      </c>
      <c r="C100" s="3" t="s">
        <v>20</v>
      </c>
      <c r="F100" s="3">
        <v>1981</v>
      </c>
      <c r="G100" s="4">
        <v>55.6</v>
      </c>
      <c r="H100">
        <f t="shared" ref="H100:H142" si="8">H99+F100/1000</f>
        <v>1.9810000000000001</v>
      </c>
    </row>
    <row r="101" spans="1:8" x14ac:dyDescent="0.25">
      <c r="A101" t="str">
        <f t="shared" si="7"/>
        <v>Thomas2007OMD69</v>
      </c>
      <c r="B101" s="1">
        <f t="shared" si="5"/>
        <v>38647</v>
      </c>
      <c r="C101" s="3" t="s">
        <v>20</v>
      </c>
      <c r="F101" s="3">
        <v>1854</v>
      </c>
      <c r="G101" s="3"/>
      <c r="H101">
        <f t="shared" si="8"/>
        <v>3.835</v>
      </c>
    </row>
    <row r="102" spans="1:8" x14ac:dyDescent="0.25">
      <c r="A102" t="str">
        <f t="shared" si="7"/>
        <v>Thomas2007OMD69</v>
      </c>
      <c r="B102" s="1">
        <f t="shared" si="5"/>
        <v>38648</v>
      </c>
      <c r="C102" s="3" t="s">
        <v>20</v>
      </c>
      <c r="F102" s="3">
        <v>1610</v>
      </c>
      <c r="G102" s="3"/>
      <c r="H102">
        <f t="shared" si="8"/>
        <v>5.4450000000000003</v>
      </c>
    </row>
    <row r="103" spans="1:8" x14ac:dyDescent="0.25">
      <c r="A103" t="str">
        <f t="shared" si="7"/>
        <v>Thomas2007OMD69</v>
      </c>
      <c r="B103" s="1">
        <f t="shared" si="5"/>
        <v>38649</v>
      </c>
      <c r="C103" s="3" t="s">
        <v>20</v>
      </c>
      <c r="F103" s="3">
        <v>1911</v>
      </c>
      <c r="G103" s="3"/>
      <c r="H103">
        <f t="shared" si="8"/>
        <v>7.3559999999999999</v>
      </c>
    </row>
    <row r="104" spans="1:8" x14ac:dyDescent="0.25">
      <c r="A104" t="str">
        <f t="shared" si="7"/>
        <v>Thomas2007OMD69</v>
      </c>
      <c r="B104" s="1">
        <f t="shared" si="5"/>
        <v>38650</v>
      </c>
      <c r="C104" s="3" t="s">
        <v>20</v>
      </c>
      <c r="F104" s="3">
        <v>1740</v>
      </c>
      <c r="G104" s="3"/>
      <c r="H104">
        <f t="shared" si="8"/>
        <v>9.0960000000000001</v>
      </c>
    </row>
    <row r="105" spans="1:8" x14ac:dyDescent="0.25">
      <c r="A105" t="str">
        <f t="shared" si="7"/>
        <v>Thomas2007OMD69</v>
      </c>
      <c r="B105" s="1">
        <f t="shared" si="5"/>
        <v>38651</v>
      </c>
      <c r="C105" s="3" t="s">
        <v>20</v>
      </c>
      <c r="F105" s="3">
        <v>1880</v>
      </c>
      <c r="G105" s="3"/>
      <c r="H105">
        <f t="shared" si="8"/>
        <v>10.975999999999999</v>
      </c>
    </row>
    <row r="106" spans="1:8" x14ac:dyDescent="0.25">
      <c r="A106" t="str">
        <f t="shared" si="7"/>
        <v>Thomas2007OMD69</v>
      </c>
      <c r="B106" s="1">
        <f t="shared" si="5"/>
        <v>38652</v>
      </c>
      <c r="C106" s="3" t="s">
        <v>20</v>
      </c>
      <c r="F106" s="3">
        <v>2024</v>
      </c>
      <c r="G106" s="3"/>
      <c r="H106">
        <f t="shared" si="8"/>
        <v>13</v>
      </c>
    </row>
    <row r="107" spans="1:8" x14ac:dyDescent="0.25">
      <c r="A107" t="str">
        <f t="shared" si="7"/>
        <v>Thomas2007OMD69</v>
      </c>
      <c r="B107" s="1">
        <f t="shared" si="5"/>
        <v>38653</v>
      </c>
      <c r="C107" s="3" t="s">
        <v>20</v>
      </c>
      <c r="F107" s="3">
        <v>1859</v>
      </c>
      <c r="G107" s="4">
        <v>56.4</v>
      </c>
      <c r="H107">
        <f t="shared" si="8"/>
        <v>14.859</v>
      </c>
    </row>
    <row r="108" spans="1:8" x14ac:dyDescent="0.25">
      <c r="A108" t="str">
        <f t="shared" si="7"/>
        <v>Thomas2007OMD69</v>
      </c>
      <c r="B108" s="1">
        <f t="shared" si="5"/>
        <v>38654</v>
      </c>
      <c r="C108" s="3" t="s">
        <v>20</v>
      </c>
      <c r="F108" s="3">
        <v>1870</v>
      </c>
      <c r="G108" s="3"/>
      <c r="H108">
        <f t="shared" si="8"/>
        <v>16.728999999999999</v>
      </c>
    </row>
    <row r="109" spans="1:8" x14ac:dyDescent="0.25">
      <c r="A109" t="str">
        <f t="shared" si="7"/>
        <v>Thomas2007OMD69</v>
      </c>
      <c r="B109" s="1">
        <f t="shared" si="5"/>
        <v>38655</v>
      </c>
      <c r="C109" s="3" t="s">
        <v>20</v>
      </c>
      <c r="F109" s="3">
        <v>1858</v>
      </c>
      <c r="G109" s="3"/>
      <c r="H109">
        <f t="shared" si="8"/>
        <v>18.587</v>
      </c>
    </row>
    <row r="110" spans="1:8" x14ac:dyDescent="0.25">
      <c r="A110" t="str">
        <f t="shared" si="7"/>
        <v>Thomas2007OMD69</v>
      </c>
      <c r="B110" s="1">
        <f t="shared" si="5"/>
        <v>38656</v>
      </c>
      <c r="C110" s="3" t="s">
        <v>20</v>
      </c>
      <c r="F110" s="3">
        <v>1815</v>
      </c>
      <c r="G110" s="3"/>
      <c r="H110">
        <f t="shared" si="8"/>
        <v>20.402000000000001</v>
      </c>
    </row>
    <row r="111" spans="1:8" x14ac:dyDescent="0.25">
      <c r="A111" t="str">
        <f t="shared" si="7"/>
        <v>Thomas2007OMD69</v>
      </c>
      <c r="B111" s="1">
        <f t="shared" si="5"/>
        <v>38657</v>
      </c>
      <c r="C111" s="3" t="s">
        <v>20</v>
      </c>
      <c r="F111" s="3">
        <v>1608</v>
      </c>
      <c r="G111" s="3"/>
      <c r="H111">
        <f t="shared" si="8"/>
        <v>22.01</v>
      </c>
    </row>
    <row r="112" spans="1:8" x14ac:dyDescent="0.25">
      <c r="A112" t="str">
        <f t="shared" si="7"/>
        <v>Thomas2007OMD69</v>
      </c>
      <c r="B112" s="1">
        <f t="shared" si="5"/>
        <v>38658</v>
      </c>
      <c r="C112" s="3" t="s">
        <v>20</v>
      </c>
      <c r="F112" s="3">
        <v>1797</v>
      </c>
      <c r="G112" s="3"/>
      <c r="H112">
        <f t="shared" si="8"/>
        <v>23.807000000000002</v>
      </c>
    </row>
    <row r="113" spans="1:11" x14ac:dyDescent="0.25">
      <c r="A113" t="str">
        <f t="shared" si="7"/>
        <v>Thomas2007OMD69</v>
      </c>
      <c r="B113" s="1">
        <f t="shared" si="5"/>
        <v>38659</v>
      </c>
      <c r="C113" s="3" t="s">
        <v>20</v>
      </c>
      <c r="F113" s="3">
        <v>1541</v>
      </c>
      <c r="G113" s="3"/>
      <c r="H113">
        <f t="shared" si="8"/>
        <v>25.348000000000003</v>
      </c>
    </row>
    <row r="114" spans="1:11" x14ac:dyDescent="0.25">
      <c r="A114" t="str">
        <f t="shared" si="7"/>
        <v>Thomas2007OMD69</v>
      </c>
      <c r="B114" s="1">
        <f t="shared" si="5"/>
        <v>38660</v>
      </c>
      <c r="C114" s="3" t="s">
        <v>20</v>
      </c>
      <c r="F114" s="3">
        <v>1579</v>
      </c>
      <c r="G114" s="4">
        <v>56.8</v>
      </c>
      <c r="H114">
        <f t="shared" si="8"/>
        <v>26.927000000000003</v>
      </c>
      <c r="J114">
        <v>0.67399306346768062</v>
      </c>
      <c r="K114">
        <v>1.7600052298964223E-2</v>
      </c>
    </row>
    <row r="115" spans="1:11" x14ac:dyDescent="0.25">
      <c r="A115" t="str">
        <f t="shared" si="7"/>
        <v>Thomas2007OMD69</v>
      </c>
      <c r="B115" s="1">
        <f t="shared" si="5"/>
        <v>38661</v>
      </c>
      <c r="C115" s="3" t="s">
        <v>20</v>
      </c>
      <c r="F115" s="3">
        <v>1533</v>
      </c>
      <c r="G115" s="3"/>
      <c r="H115">
        <f t="shared" si="8"/>
        <v>28.460000000000004</v>
      </c>
    </row>
    <row r="116" spans="1:11" x14ac:dyDescent="0.25">
      <c r="A116" t="str">
        <f t="shared" si="7"/>
        <v>Thomas2007OMD69</v>
      </c>
      <c r="B116" s="1">
        <f t="shared" si="5"/>
        <v>38662</v>
      </c>
      <c r="C116" s="3" t="s">
        <v>20</v>
      </c>
      <c r="F116" s="3">
        <v>1413</v>
      </c>
      <c r="G116" s="3"/>
      <c r="H116">
        <f t="shared" si="8"/>
        <v>29.873000000000005</v>
      </c>
    </row>
    <row r="117" spans="1:11" x14ac:dyDescent="0.25">
      <c r="A117" t="str">
        <f t="shared" si="7"/>
        <v>Thomas2007OMD69</v>
      </c>
      <c r="B117" s="1">
        <f t="shared" si="5"/>
        <v>38663</v>
      </c>
      <c r="C117" s="3" t="s">
        <v>20</v>
      </c>
      <c r="F117" s="3">
        <v>1485</v>
      </c>
      <c r="G117" s="3"/>
      <c r="H117">
        <f t="shared" si="8"/>
        <v>31.358000000000004</v>
      </c>
    </row>
    <row r="118" spans="1:11" x14ac:dyDescent="0.25">
      <c r="A118" t="str">
        <f t="shared" si="7"/>
        <v>Thomas2007OMD69</v>
      </c>
      <c r="B118" s="1">
        <f t="shared" si="5"/>
        <v>38664</v>
      </c>
      <c r="C118" s="3" t="s">
        <v>20</v>
      </c>
      <c r="F118" s="3">
        <v>1509</v>
      </c>
      <c r="G118" s="3"/>
      <c r="H118">
        <f t="shared" si="8"/>
        <v>32.867000000000004</v>
      </c>
    </row>
    <row r="119" spans="1:11" x14ac:dyDescent="0.25">
      <c r="A119" t="str">
        <f t="shared" si="7"/>
        <v>Thomas2007OMD69</v>
      </c>
      <c r="B119" s="1">
        <f t="shared" si="5"/>
        <v>38665</v>
      </c>
      <c r="C119" s="3" t="s">
        <v>20</v>
      </c>
      <c r="F119" s="3">
        <v>1540</v>
      </c>
      <c r="G119" s="3"/>
      <c r="H119">
        <f t="shared" si="8"/>
        <v>34.407000000000004</v>
      </c>
    </row>
    <row r="120" spans="1:11" x14ac:dyDescent="0.25">
      <c r="A120" t="str">
        <f t="shared" si="7"/>
        <v>Thomas2007OMD69</v>
      </c>
      <c r="B120" s="1">
        <f t="shared" si="5"/>
        <v>38666</v>
      </c>
      <c r="C120" s="3" t="s">
        <v>20</v>
      </c>
      <c r="F120" s="3">
        <v>1778</v>
      </c>
      <c r="G120" s="3"/>
      <c r="H120">
        <f t="shared" si="8"/>
        <v>36.185000000000002</v>
      </c>
    </row>
    <row r="121" spans="1:11" x14ac:dyDescent="0.25">
      <c r="A121" t="str">
        <f t="shared" si="7"/>
        <v>Thomas2007OMD69</v>
      </c>
      <c r="B121" s="1">
        <f t="shared" si="5"/>
        <v>38667</v>
      </c>
      <c r="C121" s="3" t="s">
        <v>20</v>
      </c>
      <c r="F121" s="3">
        <v>1651</v>
      </c>
      <c r="G121" s="4">
        <v>57.4</v>
      </c>
      <c r="H121">
        <f t="shared" si="8"/>
        <v>37.836000000000006</v>
      </c>
    </row>
    <row r="122" spans="1:11" x14ac:dyDescent="0.25">
      <c r="A122" t="str">
        <f t="shared" si="7"/>
        <v>Thomas2007OMD69</v>
      </c>
      <c r="B122" s="1">
        <f t="shared" si="5"/>
        <v>38668</v>
      </c>
      <c r="C122" s="3" t="s">
        <v>20</v>
      </c>
      <c r="F122" s="3">
        <v>1751</v>
      </c>
      <c r="G122" s="3"/>
      <c r="H122">
        <f t="shared" si="8"/>
        <v>39.587000000000003</v>
      </c>
    </row>
    <row r="123" spans="1:11" x14ac:dyDescent="0.25">
      <c r="A123" t="str">
        <f t="shared" si="7"/>
        <v>Thomas2007OMD69</v>
      </c>
      <c r="B123" s="1">
        <f t="shared" si="5"/>
        <v>38669</v>
      </c>
      <c r="C123" s="3" t="s">
        <v>20</v>
      </c>
      <c r="F123" s="3">
        <v>1991</v>
      </c>
      <c r="G123" s="3"/>
      <c r="H123">
        <f t="shared" si="8"/>
        <v>41.578000000000003</v>
      </c>
    </row>
    <row r="124" spans="1:11" x14ac:dyDescent="0.25">
      <c r="A124" t="str">
        <f t="shared" si="7"/>
        <v>Thomas2007OMD69</v>
      </c>
      <c r="B124" s="1">
        <f t="shared" ref="B124:B183" si="9">B123+1</f>
        <v>38670</v>
      </c>
      <c r="C124" s="3" t="s">
        <v>20</v>
      </c>
      <c r="F124" s="3">
        <v>1690</v>
      </c>
      <c r="G124" s="3"/>
      <c r="H124">
        <f t="shared" si="8"/>
        <v>43.268000000000001</v>
      </c>
    </row>
    <row r="125" spans="1:11" x14ac:dyDescent="0.25">
      <c r="A125" t="str">
        <f t="shared" si="7"/>
        <v>Thomas2007OMD69</v>
      </c>
      <c r="B125" s="1">
        <f t="shared" si="9"/>
        <v>38671</v>
      </c>
      <c r="C125" s="3" t="s">
        <v>20</v>
      </c>
      <c r="F125" s="3">
        <v>2127</v>
      </c>
      <c r="G125" s="3"/>
      <c r="H125">
        <f t="shared" si="8"/>
        <v>45.395000000000003</v>
      </c>
    </row>
    <row r="126" spans="1:11" x14ac:dyDescent="0.25">
      <c r="A126" t="str">
        <f t="shared" si="7"/>
        <v>Thomas2007OMD69</v>
      </c>
      <c r="B126" s="1">
        <f t="shared" si="9"/>
        <v>38672</v>
      </c>
      <c r="C126" s="3" t="s">
        <v>20</v>
      </c>
      <c r="F126" s="3">
        <v>1708</v>
      </c>
      <c r="G126" s="3"/>
      <c r="H126">
        <f t="shared" si="8"/>
        <v>47.103000000000002</v>
      </c>
    </row>
    <row r="127" spans="1:11" x14ac:dyDescent="0.25">
      <c r="A127" t="str">
        <f t="shared" si="7"/>
        <v>Thomas2007OMD69</v>
      </c>
      <c r="B127" s="1">
        <f t="shared" si="9"/>
        <v>38673</v>
      </c>
      <c r="C127" s="3" t="s">
        <v>20</v>
      </c>
      <c r="F127" s="3">
        <v>1650</v>
      </c>
      <c r="G127" s="3"/>
      <c r="H127">
        <f t="shared" si="8"/>
        <v>48.753</v>
      </c>
    </row>
    <row r="128" spans="1:11" x14ac:dyDescent="0.25">
      <c r="A128" t="str">
        <f t="shared" si="7"/>
        <v>Thomas2007OMD69</v>
      </c>
      <c r="B128" s="1">
        <f t="shared" si="9"/>
        <v>38674</v>
      </c>
      <c r="C128" s="3" t="s">
        <v>20</v>
      </c>
      <c r="F128" s="3">
        <v>1741</v>
      </c>
      <c r="G128" s="4">
        <v>59.1</v>
      </c>
      <c r="H128">
        <f t="shared" si="8"/>
        <v>50.494</v>
      </c>
    </row>
    <row r="129" spans="1:11" x14ac:dyDescent="0.25">
      <c r="A129" t="str">
        <f t="shared" si="7"/>
        <v>Thomas2007OMD69</v>
      </c>
      <c r="B129" s="1">
        <f t="shared" si="9"/>
        <v>38675</v>
      </c>
      <c r="C129" s="3" t="s">
        <v>20</v>
      </c>
      <c r="F129" s="3">
        <v>1898</v>
      </c>
      <c r="G129" s="3"/>
      <c r="H129">
        <f t="shared" si="8"/>
        <v>52.392000000000003</v>
      </c>
    </row>
    <row r="130" spans="1:11" x14ac:dyDescent="0.25">
      <c r="A130" t="str">
        <f t="shared" ref="A130:A161" si="10">"Thomas2007"&amp;C130</f>
        <v>Thomas2007OMD69</v>
      </c>
      <c r="B130" s="1">
        <f t="shared" si="9"/>
        <v>38676</v>
      </c>
      <c r="C130" s="3" t="s">
        <v>20</v>
      </c>
      <c r="F130" s="3">
        <v>1694</v>
      </c>
      <c r="G130" s="3"/>
      <c r="H130">
        <f t="shared" si="8"/>
        <v>54.086000000000006</v>
      </c>
    </row>
    <row r="131" spans="1:11" x14ac:dyDescent="0.25">
      <c r="A131" t="str">
        <f t="shared" si="10"/>
        <v>Thomas2007OMD69</v>
      </c>
      <c r="B131" s="1">
        <f t="shared" si="9"/>
        <v>38677</v>
      </c>
      <c r="C131" s="3" t="s">
        <v>20</v>
      </c>
      <c r="F131" s="3">
        <v>1732</v>
      </c>
      <c r="G131" s="3"/>
      <c r="H131">
        <f t="shared" si="8"/>
        <v>55.818000000000005</v>
      </c>
    </row>
    <row r="132" spans="1:11" x14ac:dyDescent="0.25">
      <c r="A132" t="str">
        <f t="shared" si="10"/>
        <v>Thomas2007OMD69</v>
      </c>
      <c r="B132" s="1">
        <f t="shared" si="9"/>
        <v>38678</v>
      </c>
      <c r="C132" s="3" t="s">
        <v>20</v>
      </c>
      <c r="F132" s="3">
        <v>1647</v>
      </c>
      <c r="G132" s="3"/>
      <c r="H132">
        <f t="shared" si="8"/>
        <v>57.465000000000003</v>
      </c>
    </row>
    <row r="133" spans="1:11" x14ac:dyDescent="0.25">
      <c r="A133" t="str">
        <f t="shared" si="10"/>
        <v>Thomas2007OMD69</v>
      </c>
      <c r="B133" s="1">
        <f t="shared" si="9"/>
        <v>38679</v>
      </c>
      <c r="C133" s="3" t="s">
        <v>20</v>
      </c>
      <c r="F133" s="3">
        <v>1744</v>
      </c>
      <c r="G133" s="3"/>
      <c r="H133">
        <f t="shared" si="8"/>
        <v>59.209000000000003</v>
      </c>
    </row>
    <row r="134" spans="1:11" x14ac:dyDescent="0.25">
      <c r="A134" t="str">
        <f t="shared" si="10"/>
        <v>Thomas2007OMD69</v>
      </c>
      <c r="B134" s="1">
        <f t="shared" si="9"/>
        <v>38680</v>
      </c>
      <c r="C134" s="3" t="s">
        <v>20</v>
      </c>
      <c r="F134" s="3">
        <v>1820</v>
      </c>
      <c r="G134" s="3"/>
      <c r="H134">
        <f t="shared" si="8"/>
        <v>61.029000000000003</v>
      </c>
    </row>
    <row r="135" spans="1:11" x14ac:dyDescent="0.25">
      <c r="A135" t="str">
        <f t="shared" si="10"/>
        <v>Thomas2007OMD69</v>
      </c>
      <c r="B135" s="1">
        <f t="shared" si="9"/>
        <v>38681</v>
      </c>
      <c r="C135" s="3" t="s">
        <v>20</v>
      </c>
      <c r="F135" s="3">
        <v>1085</v>
      </c>
      <c r="G135" s="4">
        <v>61</v>
      </c>
      <c r="H135">
        <f t="shared" si="8"/>
        <v>62.114000000000004</v>
      </c>
      <c r="J135">
        <v>1.0328285506409614</v>
      </c>
      <c r="K135">
        <v>1.7087404151108605E-2</v>
      </c>
    </row>
    <row r="136" spans="1:11" x14ac:dyDescent="0.25">
      <c r="A136" t="str">
        <f t="shared" si="10"/>
        <v>Thomas2007OMD69</v>
      </c>
      <c r="B136" s="1">
        <f t="shared" si="9"/>
        <v>38682</v>
      </c>
      <c r="C136" s="3" t="s">
        <v>20</v>
      </c>
      <c r="F136" s="3">
        <v>1460</v>
      </c>
      <c r="G136" s="3"/>
      <c r="H136">
        <f t="shared" si="8"/>
        <v>63.574000000000005</v>
      </c>
    </row>
    <row r="137" spans="1:11" x14ac:dyDescent="0.25">
      <c r="A137" t="str">
        <f t="shared" si="10"/>
        <v>Thomas2007OMD69</v>
      </c>
      <c r="B137" s="1">
        <f t="shared" si="9"/>
        <v>38683</v>
      </c>
      <c r="C137" s="3" t="s">
        <v>20</v>
      </c>
      <c r="F137" s="3">
        <v>1116</v>
      </c>
      <c r="G137" s="3"/>
      <c r="H137">
        <f t="shared" si="8"/>
        <v>64.690000000000012</v>
      </c>
    </row>
    <row r="138" spans="1:11" x14ac:dyDescent="0.25">
      <c r="A138" t="str">
        <f t="shared" si="10"/>
        <v>Thomas2007OMD69</v>
      </c>
      <c r="B138" s="1">
        <f t="shared" si="9"/>
        <v>38684</v>
      </c>
      <c r="C138" s="3" t="s">
        <v>20</v>
      </c>
      <c r="F138" s="3">
        <v>1159</v>
      </c>
      <c r="G138" s="3"/>
      <c r="H138">
        <f t="shared" si="8"/>
        <v>65.849000000000018</v>
      </c>
    </row>
    <row r="139" spans="1:11" x14ac:dyDescent="0.25">
      <c r="A139" t="str">
        <f t="shared" si="10"/>
        <v>Thomas2007OMD69</v>
      </c>
      <c r="B139" s="1">
        <f t="shared" si="9"/>
        <v>38685</v>
      </c>
      <c r="C139" s="3" t="s">
        <v>20</v>
      </c>
      <c r="F139" s="3">
        <v>1133</v>
      </c>
      <c r="G139" s="3"/>
      <c r="H139">
        <f t="shared" si="8"/>
        <v>66.982000000000014</v>
      </c>
    </row>
    <row r="140" spans="1:11" x14ac:dyDescent="0.25">
      <c r="A140" t="str">
        <f t="shared" si="10"/>
        <v>Thomas2007OMD69</v>
      </c>
      <c r="B140" s="1">
        <f t="shared" si="9"/>
        <v>38686</v>
      </c>
      <c r="C140" s="3" t="s">
        <v>20</v>
      </c>
      <c r="F140" s="3">
        <v>1285</v>
      </c>
      <c r="G140" s="3"/>
      <c r="H140">
        <f t="shared" si="8"/>
        <v>68.26700000000001</v>
      </c>
    </row>
    <row r="141" spans="1:11" x14ac:dyDescent="0.25">
      <c r="A141" t="str">
        <f t="shared" si="10"/>
        <v>Thomas2007OMD69</v>
      </c>
      <c r="B141" s="1">
        <f t="shared" si="9"/>
        <v>38687</v>
      </c>
      <c r="C141" s="3" t="s">
        <v>20</v>
      </c>
      <c r="F141" s="3">
        <v>1305</v>
      </c>
      <c r="G141" s="3"/>
      <c r="H141">
        <f t="shared" si="8"/>
        <v>69.572000000000017</v>
      </c>
    </row>
    <row r="142" spans="1:11" x14ac:dyDescent="0.25">
      <c r="A142" t="str">
        <f t="shared" si="10"/>
        <v>Thomas2007OMD69</v>
      </c>
      <c r="B142" s="1">
        <f t="shared" si="9"/>
        <v>38688</v>
      </c>
      <c r="C142" s="3" t="s">
        <v>20</v>
      </c>
      <c r="F142" s="3">
        <v>1396</v>
      </c>
      <c r="G142" s="4">
        <v>57.9</v>
      </c>
      <c r="H142">
        <f t="shared" si="8"/>
        <v>70.968000000000018</v>
      </c>
    </row>
    <row r="143" spans="1:11" x14ac:dyDescent="0.25">
      <c r="A143" t="str">
        <f t="shared" si="10"/>
        <v>Thomas2007OMD76</v>
      </c>
      <c r="B143" s="1">
        <v>38642</v>
      </c>
      <c r="C143" s="3" t="s">
        <v>21</v>
      </c>
      <c r="F143" s="3">
        <v>2201</v>
      </c>
      <c r="G143" s="4"/>
    </row>
    <row r="144" spans="1:11" x14ac:dyDescent="0.25">
      <c r="A144" t="str">
        <f t="shared" si="10"/>
        <v>Thomas2007OMD76</v>
      </c>
      <c r="B144" s="1">
        <f t="shared" si="9"/>
        <v>38643</v>
      </c>
      <c r="C144" s="3" t="s">
        <v>21</v>
      </c>
      <c r="F144" s="3">
        <v>1553</v>
      </c>
      <c r="G144" s="3"/>
    </row>
    <row r="145" spans="1:8" x14ac:dyDescent="0.25">
      <c r="A145" t="str">
        <f t="shared" si="10"/>
        <v>Thomas2007OMD76</v>
      </c>
      <c r="B145" s="1">
        <f t="shared" si="9"/>
        <v>38644</v>
      </c>
      <c r="C145" s="3" t="s">
        <v>21</v>
      </c>
      <c r="F145" s="3">
        <v>1746</v>
      </c>
      <c r="G145" s="3"/>
    </row>
    <row r="146" spans="1:8" x14ac:dyDescent="0.25">
      <c r="A146" t="str">
        <f t="shared" si="10"/>
        <v>Thomas2007OMD76</v>
      </c>
      <c r="B146" s="1">
        <f t="shared" si="9"/>
        <v>38645</v>
      </c>
      <c r="C146" s="3" t="s">
        <v>21</v>
      </c>
      <c r="F146" s="3">
        <v>1677</v>
      </c>
      <c r="G146" s="3"/>
    </row>
    <row r="147" spans="1:8" x14ac:dyDescent="0.25">
      <c r="A147" t="str">
        <f t="shared" si="10"/>
        <v>Thomas2007OMD76</v>
      </c>
      <c r="B147" s="1">
        <f t="shared" si="9"/>
        <v>38646</v>
      </c>
      <c r="C147" s="3" t="s">
        <v>21</v>
      </c>
      <c r="F147" s="3">
        <v>1971</v>
      </c>
      <c r="G147" s="4">
        <v>54</v>
      </c>
      <c r="H147">
        <f t="shared" ref="H147:H189" si="11">H146+F147/1000</f>
        <v>1.9710000000000001</v>
      </c>
    </row>
    <row r="148" spans="1:8" x14ac:dyDescent="0.25">
      <c r="A148" t="str">
        <f t="shared" si="10"/>
        <v>Thomas2007OMD76</v>
      </c>
      <c r="B148" s="1">
        <f t="shared" si="9"/>
        <v>38647</v>
      </c>
      <c r="C148" s="3" t="s">
        <v>21</v>
      </c>
      <c r="F148" s="3">
        <v>1444</v>
      </c>
      <c r="G148" s="3"/>
      <c r="H148">
        <f t="shared" si="11"/>
        <v>3.415</v>
      </c>
    </row>
    <row r="149" spans="1:8" x14ac:dyDescent="0.25">
      <c r="A149" t="str">
        <f t="shared" si="10"/>
        <v>Thomas2007OMD76</v>
      </c>
      <c r="B149" s="1">
        <f t="shared" si="9"/>
        <v>38648</v>
      </c>
      <c r="C149" s="3" t="s">
        <v>21</v>
      </c>
      <c r="F149" s="3">
        <v>1884</v>
      </c>
      <c r="G149" s="3"/>
      <c r="H149">
        <f t="shared" si="11"/>
        <v>5.2989999999999995</v>
      </c>
    </row>
    <row r="150" spans="1:8" x14ac:dyDescent="0.25">
      <c r="A150" t="str">
        <f t="shared" si="10"/>
        <v>Thomas2007OMD76</v>
      </c>
      <c r="B150" s="1">
        <f t="shared" si="9"/>
        <v>38649</v>
      </c>
      <c r="C150" s="3" t="s">
        <v>21</v>
      </c>
      <c r="F150" s="3">
        <v>1840</v>
      </c>
      <c r="G150" s="3"/>
      <c r="H150">
        <f t="shared" si="11"/>
        <v>7.1389999999999993</v>
      </c>
    </row>
    <row r="151" spans="1:8" x14ac:dyDescent="0.25">
      <c r="A151" t="str">
        <f t="shared" si="10"/>
        <v>Thomas2007OMD76</v>
      </c>
      <c r="B151" s="1">
        <f t="shared" si="9"/>
        <v>38650</v>
      </c>
      <c r="C151" s="3" t="s">
        <v>21</v>
      </c>
      <c r="F151" s="3">
        <v>1871</v>
      </c>
      <c r="G151" s="3"/>
      <c r="H151">
        <f t="shared" si="11"/>
        <v>9.01</v>
      </c>
    </row>
    <row r="152" spans="1:8" x14ac:dyDescent="0.25">
      <c r="A152" t="str">
        <f t="shared" si="10"/>
        <v>Thomas2007OMD76</v>
      </c>
      <c r="B152" s="1">
        <f t="shared" si="9"/>
        <v>38651</v>
      </c>
      <c r="C152" s="3" t="s">
        <v>21</v>
      </c>
      <c r="F152" s="3">
        <v>1716</v>
      </c>
      <c r="G152" s="3"/>
      <c r="H152">
        <f t="shared" si="11"/>
        <v>10.725999999999999</v>
      </c>
    </row>
    <row r="153" spans="1:8" x14ac:dyDescent="0.25">
      <c r="A153" t="str">
        <f t="shared" si="10"/>
        <v>Thomas2007OMD76</v>
      </c>
      <c r="B153" s="1">
        <f t="shared" si="9"/>
        <v>38652</v>
      </c>
      <c r="C153" s="3" t="s">
        <v>21</v>
      </c>
      <c r="F153" s="3">
        <v>1844</v>
      </c>
      <c r="G153" s="3"/>
      <c r="H153">
        <f t="shared" si="11"/>
        <v>12.569999999999999</v>
      </c>
    </row>
    <row r="154" spans="1:8" x14ac:dyDescent="0.25">
      <c r="A154" t="str">
        <f t="shared" si="10"/>
        <v>Thomas2007OMD76</v>
      </c>
      <c r="B154" s="1">
        <f t="shared" si="9"/>
        <v>38653</v>
      </c>
      <c r="C154" s="3" t="s">
        <v>21</v>
      </c>
      <c r="F154" s="3">
        <v>1637</v>
      </c>
      <c r="G154" s="4">
        <v>55.2</v>
      </c>
      <c r="H154">
        <f t="shared" si="11"/>
        <v>14.206999999999999</v>
      </c>
    </row>
    <row r="155" spans="1:8" x14ac:dyDescent="0.25">
      <c r="A155" t="str">
        <f t="shared" si="10"/>
        <v>Thomas2007OMD76</v>
      </c>
      <c r="B155" s="1">
        <f t="shared" si="9"/>
        <v>38654</v>
      </c>
      <c r="C155" s="3" t="s">
        <v>21</v>
      </c>
      <c r="F155" s="3">
        <v>1732</v>
      </c>
      <c r="G155" s="3"/>
      <c r="H155">
        <f t="shared" si="11"/>
        <v>15.938999999999998</v>
      </c>
    </row>
    <row r="156" spans="1:8" x14ac:dyDescent="0.25">
      <c r="A156" t="str">
        <f t="shared" si="10"/>
        <v>Thomas2007OMD76</v>
      </c>
      <c r="B156" s="1">
        <f t="shared" si="9"/>
        <v>38655</v>
      </c>
      <c r="C156" s="3" t="s">
        <v>21</v>
      </c>
      <c r="F156" s="3">
        <v>1742</v>
      </c>
      <c r="G156" s="3"/>
      <c r="H156">
        <f t="shared" si="11"/>
        <v>17.680999999999997</v>
      </c>
    </row>
    <row r="157" spans="1:8" x14ac:dyDescent="0.25">
      <c r="A157" t="str">
        <f t="shared" si="10"/>
        <v>Thomas2007OMD76</v>
      </c>
      <c r="B157" s="1">
        <f t="shared" si="9"/>
        <v>38656</v>
      </c>
      <c r="C157" s="3" t="s">
        <v>21</v>
      </c>
      <c r="F157" s="3">
        <v>1782</v>
      </c>
      <c r="G157" s="3"/>
      <c r="H157">
        <f t="shared" si="11"/>
        <v>19.462999999999997</v>
      </c>
    </row>
    <row r="158" spans="1:8" x14ac:dyDescent="0.25">
      <c r="A158" t="str">
        <f t="shared" si="10"/>
        <v>Thomas2007OMD76</v>
      </c>
      <c r="B158" s="1">
        <f t="shared" si="9"/>
        <v>38657</v>
      </c>
      <c r="C158" s="3" t="s">
        <v>21</v>
      </c>
      <c r="F158" s="3">
        <v>1218</v>
      </c>
      <c r="G158" s="3"/>
      <c r="H158">
        <f t="shared" si="11"/>
        <v>20.680999999999997</v>
      </c>
    </row>
    <row r="159" spans="1:8" x14ac:dyDescent="0.25">
      <c r="A159" t="str">
        <f t="shared" si="10"/>
        <v>Thomas2007OMD76</v>
      </c>
      <c r="B159" s="1">
        <f t="shared" si="9"/>
        <v>38658</v>
      </c>
      <c r="C159" s="3" t="s">
        <v>21</v>
      </c>
      <c r="F159" s="3">
        <v>1644</v>
      </c>
      <c r="G159" s="3"/>
      <c r="H159">
        <f t="shared" si="11"/>
        <v>22.324999999999996</v>
      </c>
    </row>
    <row r="160" spans="1:8" x14ac:dyDescent="0.25">
      <c r="A160" t="str">
        <f t="shared" si="10"/>
        <v>Thomas2007OMD76</v>
      </c>
      <c r="B160" s="1">
        <f t="shared" si="9"/>
        <v>38659</v>
      </c>
      <c r="C160" s="3" t="s">
        <v>21</v>
      </c>
      <c r="F160" s="3">
        <v>1653</v>
      </c>
      <c r="G160" s="3"/>
      <c r="H160">
        <f t="shared" si="11"/>
        <v>23.977999999999994</v>
      </c>
    </row>
    <row r="161" spans="1:11" x14ac:dyDescent="0.25">
      <c r="A161" t="str">
        <f t="shared" si="10"/>
        <v>Thomas2007OMD76</v>
      </c>
      <c r="B161" s="1">
        <f t="shared" si="9"/>
        <v>38660</v>
      </c>
      <c r="C161" s="3" t="s">
        <v>21</v>
      </c>
      <c r="F161" s="3">
        <v>1506</v>
      </c>
      <c r="G161" s="4">
        <v>55.5</v>
      </c>
      <c r="H161">
        <f t="shared" si="11"/>
        <v>25.483999999999995</v>
      </c>
      <c r="J161">
        <v>0.63642254540008492</v>
      </c>
      <c r="K161">
        <v>1.6825581080435702E-2</v>
      </c>
    </row>
    <row r="162" spans="1:11" x14ac:dyDescent="0.25">
      <c r="A162" t="str">
        <f t="shared" ref="A162:A182" si="12">"Thomas2007"&amp;C162</f>
        <v>Thomas2007OMD76</v>
      </c>
      <c r="B162" s="1">
        <f t="shared" si="9"/>
        <v>38661</v>
      </c>
      <c r="C162" s="3" t="s">
        <v>21</v>
      </c>
      <c r="F162" s="3">
        <v>1392</v>
      </c>
      <c r="G162" s="3"/>
      <c r="H162">
        <f t="shared" si="11"/>
        <v>26.875999999999994</v>
      </c>
    </row>
    <row r="163" spans="1:11" x14ac:dyDescent="0.25">
      <c r="A163" t="str">
        <f t="shared" si="12"/>
        <v>Thomas2007OMD76</v>
      </c>
      <c r="B163" s="1">
        <f t="shared" si="9"/>
        <v>38662</v>
      </c>
      <c r="C163" s="3" t="s">
        <v>21</v>
      </c>
      <c r="F163" s="3">
        <v>1644</v>
      </c>
      <c r="G163" s="3"/>
      <c r="H163">
        <f t="shared" si="11"/>
        <v>28.519999999999992</v>
      </c>
    </row>
    <row r="164" spans="1:11" x14ac:dyDescent="0.25">
      <c r="A164" t="str">
        <f t="shared" si="12"/>
        <v>Thomas2007OMD76</v>
      </c>
      <c r="B164" s="1">
        <f t="shared" si="9"/>
        <v>38663</v>
      </c>
      <c r="C164" s="3" t="s">
        <v>21</v>
      </c>
      <c r="F164" s="3">
        <v>1656</v>
      </c>
      <c r="G164" s="3"/>
      <c r="H164">
        <f t="shared" si="11"/>
        <v>30.175999999999991</v>
      </c>
    </row>
    <row r="165" spans="1:11" x14ac:dyDescent="0.25">
      <c r="A165" t="str">
        <f t="shared" si="12"/>
        <v>Thomas2007OMD76</v>
      </c>
      <c r="B165" s="1">
        <f t="shared" si="9"/>
        <v>38664</v>
      </c>
      <c r="C165" s="3" t="s">
        <v>21</v>
      </c>
      <c r="F165" s="3">
        <v>1395</v>
      </c>
      <c r="G165" s="3"/>
      <c r="H165">
        <f t="shared" si="11"/>
        <v>31.570999999999991</v>
      </c>
    </row>
    <row r="166" spans="1:11" x14ac:dyDescent="0.25">
      <c r="A166" t="str">
        <f t="shared" si="12"/>
        <v>Thomas2007OMD76</v>
      </c>
      <c r="B166" s="1">
        <f t="shared" si="9"/>
        <v>38665</v>
      </c>
      <c r="C166" s="3" t="s">
        <v>21</v>
      </c>
      <c r="F166" s="3">
        <v>1572</v>
      </c>
      <c r="G166" s="3"/>
      <c r="H166">
        <f t="shared" si="11"/>
        <v>33.142999999999994</v>
      </c>
    </row>
    <row r="167" spans="1:11" x14ac:dyDescent="0.25">
      <c r="A167" t="str">
        <f t="shared" si="12"/>
        <v>Thomas2007OMD76</v>
      </c>
      <c r="B167" s="1">
        <f t="shared" si="9"/>
        <v>38666</v>
      </c>
      <c r="C167" s="3" t="s">
        <v>21</v>
      </c>
      <c r="F167" s="3">
        <v>1707</v>
      </c>
      <c r="G167" s="3"/>
      <c r="H167">
        <f t="shared" si="11"/>
        <v>34.849999999999994</v>
      </c>
    </row>
    <row r="168" spans="1:11" x14ac:dyDescent="0.25">
      <c r="A168" t="str">
        <f t="shared" si="12"/>
        <v>Thomas2007OMD76</v>
      </c>
      <c r="B168" s="1">
        <f t="shared" si="9"/>
        <v>38667</v>
      </c>
      <c r="C168" s="3" t="s">
        <v>21</v>
      </c>
      <c r="F168" s="3">
        <v>1576</v>
      </c>
      <c r="G168" s="4">
        <v>56.2</v>
      </c>
      <c r="H168">
        <f t="shared" si="11"/>
        <v>36.425999999999995</v>
      </c>
    </row>
    <row r="169" spans="1:11" x14ac:dyDescent="0.25">
      <c r="A169" t="str">
        <f t="shared" si="12"/>
        <v>Thomas2007OMD76</v>
      </c>
      <c r="B169" s="1">
        <f t="shared" si="9"/>
        <v>38668</v>
      </c>
      <c r="C169" s="3" t="s">
        <v>21</v>
      </c>
      <c r="F169" s="3">
        <v>1545</v>
      </c>
      <c r="G169" s="3"/>
      <c r="H169">
        <f t="shared" si="11"/>
        <v>37.970999999999997</v>
      </c>
    </row>
    <row r="170" spans="1:11" x14ac:dyDescent="0.25">
      <c r="A170" t="str">
        <f t="shared" si="12"/>
        <v>Thomas2007OMD76</v>
      </c>
      <c r="B170" s="1">
        <f t="shared" si="9"/>
        <v>38669</v>
      </c>
      <c r="C170" s="3" t="s">
        <v>21</v>
      </c>
      <c r="F170" s="3">
        <v>1494</v>
      </c>
      <c r="G170" s="3"/>
      <c r="H170">
        <f t="shared" si="11"/>
        <v>39.464999999999996</v>
      </c>
    </row>
    <row r="171" spans="1:11" x14ac:dyDescent="0.25">
      <c r="A171" t="str">
        <f t="shared" si="12"/>
        <v>Thomas2007OMD76</v>
      </c>
      <c r="B171" s="1">
        <f t="shared" si="9"/>
        <v>38670</v>
      </c>
      <c r="C171" s="3" t="s">
        <v>21</v>
      </c>
      <c r="F171" s="3">
        <v>1598</v>
      </c>
      <c r="G171" s="3"/>
      <c r="H171">
        <f t="shared" si="11"/>
        <v>41.062999999999995</v>
      </c>
    </row>
    <row r="172" spans="1:11" x14ac:dyDescent="0.25">
      <c r="A172" t="str">
        <f t="shared" si="12"/>
        <v>Thomas2007OMD76</v>
      </c>
      <c r="B172" s="1">
        <f t="shared" si="9"/>
        <v>38671</v>
      </c>
      <c r="C172" s="3" t="s">
        <v>21</v>
      </c>
      <c r="F172" s="3">
        <v>1608</v>
      </c>
      <c r="G172" s="3"/>
      <c r="H172">
        <f t="shared" si="11"/>
        <v>42.670999999999992</v>
      </c>
    </row>
    <row r="173" spans="1:11" x14ac:dyDescent="0.25">
      <c r="A173" t="str">
        <f t="shared" si="12"/>
        <v>Thomas2007OMD76</v>
      </c>
      <c r="B173" s="1">
        <f t="shared" si="9"/>
        <v>38672</v>
      </c>
      <c r="C173" s="3" t="s">
        <v>21</v>
      </c>
      <c r="F173" s="3">
        <v>1578</v>
      </c>
      <c r="G173" s="3"/>
      <c r="H173">
        <f t="shared" si="11"/>
        <v>44.248999999999995</v>
      </c>
    </row>
    <row r="174" spans="1:11" x14ac:dyDescent="0.25">
      <c r="A174" t="str">
        <f t="shared" si="12"/>
        <v>Thomas2007OMD76</v>
      </c>
      <c r="B174" s="1">
        <f t="shared" si="9"/>
        <v>38673</v>
      </c>
      <c r="C174" s="3" t="s">
        <v>21</v>
      </c>
      <c r="F174" s="3">
        <v>1591</v>
      </c>
      <c r="G174" s="3"/>
      <c r="H174">
        <f t="shared" si="11"/>
        <v>45.839999999999996</v>
      </c>
    </row>
    <row r="175" spans="1:11" x14ac:dyDescent="0.25">
      <c r="A175" t="str">
        <f t="shared" si="12"/>
        <v>Thomas2007OMD76</v>
      </c>
      <c r="B175" s="1">
        <f t="shared" si="9"/>
        <v>38674</v>
      </c>
      <c r="C175" s="3" t="s">
        <v>21</v>
      </c>
      <c r="F175" s="3">
        <v>1487</v>
      </c>
      <c r="G175" s="4">
        <v>57.3</v>
      </c>
      <c r="H175">
        <f t="shared" si="11"/>
        <v>47.326999999999998</v>
      </c>
    </row>
    <row r="176" spans="1:11" x14ac:dyDescent="0.25">
      <c r="A176" t="str">
        <f t="shared" si="12"/>
        <v>Thomas2007OMD76</v>
      </c>
      <c r="B176" s="1">
        <f t="shared" si="9"/>
        <v>38675</v>
      </c>
      <c r="C176" s="3" t="s">
        <v>21</v>
      </c>
      <c r="F176" s="3">
        <v>1671</v>
      </c>
      <c r="G176" s="3"/>
      <c r="H176">
        <f t="shared" si="11"/>
        <v>48.997999999999998</v>
      </c>
    </row>
    <row r="177" spans="1:11" x14ac:dyDescent="0.25">
      <c r="A177" t="str">
        <f t="shared" si="12"/>
        <v>Thomas2007OMD76</v>
      </c>
      <c r="B177" s="1">
        <f t="shared" si="9"/>
        <v>38676</v>
      </c>
      <c r="C177" s="3" t="s">
        <v>21</v>
      </c>
      <c r="F177" s="3">
        <v>1772</v>
      </c>
      <c r="G177" s="3"/>
      <c r="H177">
        <f t="shared" si="11"/>
        <v>50.769999999999996</v>
      </c>
    </row>
    <row r="178" spans="1:11" x14ac:dyDescent="0.25">
      <c r="A178" t="str">
        <f t="shared" si="12"/>
        <v>Thomas2007OMD76</v>
      </c>
      <c r="B178" s="1">
        <f t="shared" si="9"/>
        <v>38677</v>
      </c>
      <c r="C178" s="3" t="s">
        <v>21</v>
      </c>
      <c r="F178" s="3">
        <v>1602</v>
      </c>
      <c r="G178" s="3"/>
      <c r="H178">
        <f t="shared" si="11"/>
        <v>52.371999999999993</v>
      </c>
    </row>
    <row r="179" spans="1:11" x14ac:dyDescent="0.25">
      <c r="A179" t="str">
        <f t="shared" si="12"/>
        <v>Thomas2007OMD76</v>
      </c>
      <c r="B179" s="1">
        <f t="shared" si="9"/>
        <v>38678</v>
      </c>
      <c r="C179" s="3" t="s">
        <v>21</v>
      </c>
      <c r="F179" s="3">
        <v>1648</v>
      </c>
      <c r="G179" s="3"/>
      <c r="H179">
        <f t="shared" si="11"/>
        <v>54.019999999999996</v>
      </c>
    </row>
    <row r="180" spans="1:11" x14ac:dyDescent="0.25">
      <c r="A180" t="str">
        <f t="shared" si="12"/>
        <v>Thomas2007OMD76</v>
      </c>
      <c r="B180" s="1">
        <f t="shared" si="9"/>
        <v>38679</v>
      </c>
      <c r="C180" s="3" t="s">
        <v>21</v>
      </c>
      <c r="F180" s="3">
        <v>1526</v>
      </c>
      <c r="G180" s="3"/>
      <c r="H180">
        <f t="shared" si="11"/>
        <v>55.545999999999999</v>
      </c>
    </row>
    <row r="181" spans="1:11" x14ac:dyDescent="0.25">
      <c r="A181" t="str">
        <f t="shared" si="12"/>
        <v>Thomas2007OMD76</v>
      </c>
      <c r="B181" s="1">
        <f t="shared" si="9"/>
        <v>38680</v>
      </c>
      <c r="C181" s="3" t="s">
        <v>21</v>
      </c>
      <c r="F181" s="3">
        <v>1701</v>
      </c>
      <c r="G181" s="3"/>
      <c r="H181">
        <f t="shared" si="11"/>
        <v>57.247</v>
      </c>
    </row>
    <row r="182" spans="1:11" x14ac:dyDescent="0.25">
      <c r="A182" t="str">
        <f t="shared" si="12"/>
        <v>Thomas2007OMD76</v>
      </c>
      <c r="B182" s="1">
        <f t="shared" si="9"/>
        <v>38681</v>
      </c>
      <c r="C182" s="3" t="s">
        <v>21</v>
      </c>
      <c r="F182" s="3">
        <v>945</v>
      </c>
      <c r="G182" s="4">
        <v>59.4</v>
      </c>
      <c r="H182">
        <f t="shared" si="11"/>
        <v>58.192</v>
      </c>
      <c r="J182">
        <v>0.9644430836057849</v>
      </c>
      <c r="K182">
        <v>1.5620025628842857E-2</v>
      </c>
    </row>
    <row r="183" spans="1:11" x14ac:dyDescent="0.25">
      <c r="A183" t="str">
        <f t="shared" ref="A183:A189" si="13">"Thomas2007"&amp;C183</f>
        <v>Thomas2007OMD76</v>
      </c>
      <c r="B183" s="1">
        <f t="shared" si="9"/>
        <v>38682</v>
      </c>
      <c r="C183" s="3" t="s">
        <v>21</v>
      </c>
      <c r="F183" s="3">
        <v>1298</v>
      </c>
      <c r="G183" s="3"/>
      <c r="H183">
        <f t="shared" si="11"/>
        <v>59.49</v>
      </c>
    </row>
    <row r="184" spans="1:11" x14ac:dyDescent="0.25">
      <c r="A184" t="str">
        <f t="shared" si="13"/>
        <v>Thomas2007OMD76</v>
      </c>
      <c r="B184" s="1">
        <f t="shared" ref="B184:B189" si="14">B183+1</f>
        <v>38683</v>
      </c>
      <c r="C184" s="3" t="s">
        <v>21</v>
      </c>
      <c r="F184" s="3">
        <v>1232</v>
      </c>
      <c r="G184" s="3"/>
      <c r="H184">
        <f t="shared" si="11"/>
        <v>60.722000000000001</v>
      </c>
    </row>
    <row r="185" spans="1:11" x14ac:dyDescent="0.25">
      <c r="A185" t="str">
        <f t="shared" si="13"/>
        <v>Thomas2007OMD76</v>
      </c>
      <c r="B185" s="1">
        <f t="shared" si="14"/>
        <v>38684</v>
      </c>
      <c r="C185" s="3" t="s">
        <v>21</v>
      </c>
      <c r="F185" s="3">
        <v>1375</v>
      </c>
      <c r="G185" s="3"/>
      <c r="H185">
        <f t="shared" si="11"/>
        <v>62.097000000000001</v>
      </c>
    </row>
    <row r="186" spans="1:11" x14ac:dyDescent="0.25">
      <c r="A186" t="str">
        <f t="shared" si="13"/>
        <v>Thomas2007OMD76</v>
      </c>
      <c r="B186" s="1">
        <f t="shared" si="14"/>
        <v>38685</v>
      </c>
      <c r="C186" s="3" t="s">
        <v>21</v>
      </c>
      <c r="F186" s="3">
        <v>1472</v>
      </c>
      <c r="G186" s="3"/>
      <c r="H186">
        <f t="shared" si="11"/>
        <v>63.569000000000003</v>
      </c>
    </row>
    <row r="187" spans="1:11" x14ac:dyDescent="0.25">
      <c r="A187" t="str">
        <f t="shared" si="13"/>
        <v>Thomas2007OMD76</v>
      </c>
      <c r="B187" s="1">
        <f t="shared" si="14"/>
        <v>38686</v>
      </c>
      <c r="C187" s="3" t="s">
        <v>21</v>
      </c>
      <c r="F187" s="3">
        <v>1379</v>
      </c>
      <c r="G187" s="3"/>
      <c r="H187">
        <f t="shared" si="11"/>
        <v>64.948000000000008</v>
      </c>
    </row>
    <row r="188" spans="1:11" x14ac:dyDescent="0.25">
      <c r="A188" t="str">
        <f t="shared" si="13"/>
        <v>Thomas2007OMD76</v>
      </c>
      <c r="B188" s="1">
        <f t="shared" si="14"/>
        <v>38687</v>
      </c>
      <c r="C188" s="3" t="s">
        <v>21</v>
      </c>
      <c r="F188" s="3">
        <v>1433</v>
      </c>
      <c r="G188" s="3"/>
      <c r="H188">
        <f t="shared" si="11"/>
        <v>66.381000000000014</v>
      </c>
    </row>
    <row r="189" spans="1:11" x14ac:dyDescent="0.25">
      <c r="A189" t="str">
        <f t="shared" si="13"/>
        <v>Thomas2007OMD76</v>
      </c>
      <c r="B189" s="1">
        <f t="shared" si="14"/>
        <v>38688</v>
      </c>
      <c r="C189" s="3" t="s">
        <v>21</v>
      </c>
      <c r="F189" s="3">
        <v>1334</v>
      </c>
      <c r="G189" s="4">
        <v>56.5</v>
      </c>
      <c r="H189">
        <f t="shared" si="11"/>
        <v>67.715000000000018</v>
      </c>
    </row>
    <row r="1048564" spans="4:4" x14ac:dyDescent="0.25">
      <c r="D1048564" s="1"/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643E-19A9-4BCA-984E-D3604CFC9FB7}">
  <dimension ref="A1:I200"/>
  <sheetViews>
    <sheetView workbookViewId="0">
      <selection activeCell="L33" sqref="L33"/>
    </sheetView>
  </sheetViews>
  <sheetFormatPr defaultRowHeight="15" x14ac:dyDescent="0.25"/>
  <sheetData>
    <row r="1" spans="1:9" x14ac:dyDescent="0.25">
      <c r="A1" s="3" t="s">
        <v>13</v>
      </c>
      <c r="B1" s="3">
        <v>58.8</v>
      </c>
      <c r="C1" s="3">
        <v>8.4</v>
      </c>
      <c r="D1" s="3">
        <v>61.2</v>
      </c>
      <c r="E1" s="3">
        <v>10.5</v>
      </c>
      <c r="F1" s="3">
        <v>92.3</v>
      </c>
      <c r="G1" s="3">
        <v>5.8</v>
      </c>
      <c r="H1" s="3">
        <v>1424</v>
      </c>
      <c r="I1" s="3">
        <v>1315</v>
      </c>
    </row>
    <row r="2" spans="1:9" x14ac:dyDescent="0.25">
      <c r="A2" s="3" t="s">
        <v>13</v>
      </c>
      <c r="B2" s="3">
        <v>58.8</v>
      </c>
      <c r="C2" s="3">
        <v>8.4</v>
      </c>
      <c r="D2" s="3">
        <v>61.2</v>
      </c>
      <c r="E2" s="3">
        <v>10.5</v>
      </c>
      <c r="F2" s="3">
        <v>92.3</v>
      </c>
      <c r="G2" s="3">
        <v>5.8</v>
      </c>
      <c r="H2" s="3">
        <v>1420</v>
      </c>
      <c r="I2" s="3">
        <v>1310</v>
      </c>
    </row>
    <row r="3" spans="1:9" x14ac:dyDescent="0.25">
      <c r="A3" s="3" t="s">
        <v>13</v>
      </c>
      <c r="B3" s="3">
        <v>58.8</v>
      </c>
      <c r="C3" s="3">
        <v>8.4</v>
      </c>
      <c r="D3" s="3">
        <v>61.2</v>
      </c>
      <c r="E3" s="3">
        <v>10.5</v>
      </c>
      <c r="F3" s="3">
        <v>92.3</v>
      </c>
      <c r="G3" s="3">
        <v>5.8</v>
      </c>
      <c r="H3" s="3">
        <v>1722</v>
      </c>
      <c r="I3" s="3">
        <v>1590</v>
      </c>
    </row>
    <row r="4" spans="1:9" x14ac:dyDescent="0.25">
      <c r="A4" s="3" t="s">
        <v>13</v>
      </c>
      <c r="B4" s="3">
        <v>58.8</v>
      </c>
      <c r="C4" s="3">
        <v>8.4</v>
      </c>
      <c r="D4" s="3">
        <v>61.2</v>
      </c>
      <c r="E4" s="3">
        <v>10.5</v>
      </c>
      <c r="F4" s="3">
        <v>92.3</v>
      </c>
      <c r="G4" s="3">
        <v>5.8</v>
      </c>
      <c r="H4" s="3">
        <v>2067</v>
      </c>
      <c r="I4" s="3">
        <v>1908</v>
      </c>
    </row>
    <row r="5" spans="1:9" x14ac:dyDescent="0.25">
      <c r="A5" s="3" t="s">
        <v>13</v>
      </c>
      <c r="B5" s="3">
        <v>58.8</v>
      </c>
      <c r="C5" s="3">
        <v>8.4</v>
      </c>
      <c r="D5" s="3">
        <v>61.2</v>
      </c>
      <c r="E5" s="3">
        <v>10.5</v>
      </c>
      <c r="F5" s="3">
        <v>92.3</v>
      </c>
      <c r="G5" s="3">
        <v>5.8</v>
      </c>
      <c r="H5" s="3">
        <v>1843</v>
      </c>
      <c r="I5" s="3">
        <v>1701</v>
      </c>
    </row>
    <row r="6" spans="1:9" x14ac:dyDescent="0.25">
      <c r="A6" s="3" t="s">
        <v>13</v>
      </c>
      <c r="B6" s="3">
        <v>58.8</v>
      </c>
      <c r="C6" s="3">
        <v>8.4</v>
      </c>
      <c r="D6" s="3">
        <v>61.2</v>
      </c>
      <c r="E6" s="3">
        <v>10.5</v>
      </c>
      <c r="F6" s="3">
        <v>92.3</v>
      </c>
      <c r="G6" s="3">
        <v>5.8</v>
      </c>
      <c r="H6" s="3">
        <v>1799</v>
      </c>
      <c r="I6" s="3">
        <v>1661</v>
      </c>
    </row>
    <row r="7" spans="1:9" x14ac:dyDescent="0.25">
      <c r="A7" s="3" t="s">
        <v>13</v>
      </c>
      <c r="B7" s="3">
        <v>58.8</v>
      </c>
      <c r="C7" s="3">
        <v>8.4</v>
      </c>
      <c r="D7" s="3">
        <v>61.2</v>
      </c>
      <c r="E7" s="3">
        <v>10.5</v>
      </c>
      <c r="F7" s="3">
        <v>92.3</v>
      </c>
      <c r="G7" s="3">
        <v>5.8</v>
      </c>
      <c r="H7" s="3">
        <v>1900</v>
      </c>
      <c r="I7" s="3">
        <v>1753</v>
      </c>
    </row>
    <row r="8" spans="1:9" x14ac:dyDescent="0.25">
      <c r="A8" s="3" t="s">
        <v>13</v>
      </c>
      <c r="B8" s="3">
        <v>58.8</v>
      </c>
      <c r="C8" s="3">
        <v>8.4</v>
      </c>
      <c r="D8" s="3">
        <v>61.2</v>
      </c>
      <c r="E8" s="3">
        <v>10.5</v>
      </c>
      <c r="F8" s="3">
        <v>92.3</v>
      </c>
      <c r="G8" s="3">
        <v>5.8</v>
      </c>
      <c r="H8" s="3">
        <v>1793</v>
      </c>
      <c r="I8" s="3">
        <v>1655</v>
      </c>
    </row>
    <row r="9" spans="1:9" x14ac:dyDescent="0.25">
      <c r="A9" s="3" t="s">
        <v>13</v>
      </c>
      <c r="B9" s="3">
        <v>58.8</v>
      </c>
      <c r="C9" s="3">
        <v>8.4</v>
      </c>
      <c r="D9" s="3">
        <v>61.2</v>
      </c>
      <c r="E9" s="3">
        <v>10.5</v>
      </c>
      <c r="F9" s="3">
        <v>92.3</v>
      </c>
      <c r="G9" s="3">
        <v>5.8</v>
      </c>
      <c r="H9" s="3">
        <v>1846</v>
      </c>
      <c r="I9" s="3">
        <v>1704</v>
      </c>
    </row>
    <row r="10" spans="1:9" x14ac:dyDescent="0.25">
      <c r="A10" s="3" t="s">
        <v>13</v>
      </c>
      <c r="B10" s="3">
        <v>58.8</v>
      </c>
      <c r="C10" s="3">
        <v>8.4</v>
      </c>
      <c r="D10" s="3">
        <v>61.2</v>
      </c>
      <c r="E10" s="3">
        <v>10.5</v>
      </c>
      <c r="F10" s="3">
        <v>92.3</v>
      </c>
      <c r="G10" s="3">
        <v>5.8</v>
      </c>
      <c r="H10" s="3">
        <v>1657</v>
      </c>
      <c r="I10" s="3">
        <v>1529</v>
      </c>
    </row>
    <row r="11" spans="1:9" x14ac:dyDescent="0.25">
      <c r="A11" s="3" t="s">
        <v>13</v>
      </c>
      <c r="B11" s="3">
        <v>58.8</v>
      </c>
      <c r="C11" s="3">
        <v>8.4</v>
      </c>
      <c r="D11" s="3">
        <v>61.2</v>
      </c>
      <c r="E11" s="3">
        <v>10.5</v>
      </c>
      <c r="F11" s="3">
        <v>92.3</v>
      </c>
      <c r="G11" s="3">
        <v>5.8</v>
      </c>
      <c r="H11" s="3">
        <v>1873</v>
      </c>
      <c r="I11" s="3">
        <v>1729</v>
      </c>
    </row>
    <row r="12" spans="1:9" x14ac:dyDescent="0.25">
      <c r="A12" s="3" t="s">
        <v>13</v>
      </c>
      <c r="B12" s="3">
        <v>58.8</v>
      </c>
      <c r="C12" s="3">
        <v>8.4</v>
      </c>
      <c r="D12" s="3">
        <v>61.2</v>
      </c>
      <c r="E12" s="3">
        <v>10.5</v>
      </c>
      <c r="F12" s="3">
        <v>92.3</v>
      </c>
      <c r="G12" s="3">
        <v>5.8</v>
      </c>
      <c r="H12" s="3">
        <v>1860</v>
      </c>
      <c r="I12" s="3">
        <v>1716</v>
      </c>
    </row>
    <row r="13" spans="1:9" x14ac:dyDescent="0.25">
      <c r="A13" s="3" t="s">
        <v>13</v>
      </c>
      <c r="B13" s="3">
        <v>58.8</v>
      </c>
      <c r="C13" s="3">
        <v>8.4</v>
      </c>
      <c r="D13" s="3">
        <v>61.2</v>
      </c>
      <c r="E13" s="3">
        <v>10.5</v>
      </c>
      <c r="F13" s="3">
        <v>92.3</v>
      </c>
      <c r="G13" s="3">
        <v>5.8</v>
      </c>
      <c r="H13" s="3">
        <v>1679</v>
      </c>
      <c r="I13" s="3">
        <v>1549</v>
      </c>
    </row>
    <row r="14" spans="1:9" x14ac:dyDescent="0.25">
      <c r="A14" s="3" t="s">
        <v>13</v>
      </c>
      <c r="B14" s="3">
        <v>58.8</v>
      </c>
      <c r="C14" s="3">
        <v>8.4</v>
      </c>
      <c r="D14" s="3">
        <v>61.2</v>
      </c>
      <c r="E14" s="3">
        <v>10.5</v>
      </c>
      <c r="F14" s="3">
        <v>92.3</v>
      </c>
      <c r="G14" s="3">
        <v>5.8</v>
      </c>
      <c r="H14" s="3">
        <v>2001</v>
      </c>
      <c r="I14" s="3">
        <v>1847</v>
      </c>
    </row>
    <row r="15" spans="1:9" x14ac:dyDescent="0.25">
      <c r="A15" s="3" t="s">
        <v>13</v>
      </c>
      <c r="B15" s="3">
        <v>58.8</v>
      </c>
      <c r="C15" s="3">
        <v>8.4</v>
      </c>
      <c r="D15" s="3">
        <v>61.2</v>
      </c>
      <c r="E15" s="3">
        <v>10.5</v>
      </c>
      <c r="F15" s="3">
        <v>92.3</v>
      </c>
      <c r="G15" s="3">
        <v>5.8</v>
      </c>
      <c r="H15" s="3">
        <v>1703</v>
      </c>
      <c r="I15" s="3">
        <v>1572</v>
      </c>
    </row>
    <row r="16" spans="1:9" x14ac:dyDescent="0.25">
      <c r="A16" s="3" t="s">
        <v>13</v>
      </c>
      <c r="B16" s="3">
        <v>58.8</v>
      </c>
      <c r="C16" s="3">
        <v>8.4</v>
      </c>
      <c r="D16" s="3">
        <v>61.2</v>
      </c>
      <c r="E16" s="3">
        <v>10.5</v>
      </c>
      <c r="F16" s="3">
        <v>92.3</v>
      </c>
      <c r="G16" s="3">
        <v>5.8</v>
      </c>
      <c r="H16" s="3">
        <v>1485</v>
      </c>
      <c r="I16" s="3">
        <v>1371</v>
      </c>
    </row>
    <row r="17" spans="1:9" x14ac:dyDescent="0.25">
      <c r="A17" s="3" t="s">
        <v>13</v>
      </c>
      <c r="B17" s="3">
        <v>58.8</v>
      </c>
      <c r="C17" s="3">
        <v>8.4</v>
      </c>
      <c r="D17" s="3">
        <v>61.2</v>
      </c>
      <c r="E17" s="3">
        <v>10.5</v>
      </c>
      <c r="F17" s="3">
        <v>92.3</v>
      </c>
      <c r="G17" s="3">
        <v>5.8</v>
      </c>
      <c r="H17" s="3">
        <v>1659</v>
      </c>
      <c r="I17" s="3">
        <v>1531</v>
      </c>
    </row>
    <row r="18" spans="1:9" x14ac:dyDescent="0.25">
      <c r="A18" s="3" t="s">
        <v>13</v>
      </c>
      <c r="B18" s="3">
        <v>58.8</v>
      </c>
      <c r="C18" s="3">
        <v>8.4</v>
      </c>
      <c r="D18" s="3">
        <v>61.2</v>
      </c>
      <c r="E18" s="3">
        <v>10.5</v>
      </c>
      <c r="F18" s="3">
        <v>92.3</v>
      </c>
      <c r="G18" s="3">
        <v>5.8</v>
      </c>
      <c r="H18" s="3">
        <v>1668</v>
      </c>
      <c r="I18" s="3">
        <v>1539</v>
      </c>
    </row>
    <row r="19" spans="1:9" x14ac:dyDescent="0.25">
      <c r="A19" s="3" t="s">
        <v>13</v>
      </c>
      <c r="B19" s="3">
        <v>58.8</v>
      </c>
      <c r="C19" s="3">
        <v>8.4</v>
      </c>
      <c r="D19" s="3">
        <v>61.2</v>
      </c>
      <c r="E19" s="3">
        <v>10.5</v>
      </c>
      <c r="F19" s="3">
        <v>92.3</v>
      </c>
      <c r="G19" s="3">
        <v>5.8</v>
      </c>
      <c r="H19" s="3">
        <v>2322</v>
      </c>
      <c r="I19" s="3">
        <v>2143</v>
      </c>
    </row>
    <row r="20" spans="1:9" x14ac:dyDescent="0.25">
      <c r="A20" s="3" t="s">
        <v>13</v>
      </c>
      <c r="B20" s="3">
        <v>58.8</v>
      </c>
      <c r="C20" s="3">
        <v>8.4</v>
      </c>
      <c r="D20" s="3">
        <v>61.2</v>
      </c>
      <c r="E20" s="3">
        <v>10.5</v>
      </c>
      <c r="F20" s="3">
        <v>92.3</v>
      </c>
      <c r="G20" s="3">
        <v>5.8</v>
      </c>
      <c r="H20" s="3">
        <v>1883</v>
      </c>
      <c r="I20" s="3">
        <v>1738</v>
      </c>
    </row>
    <row r="21" spans="1:9" x14ac:dyDescent="0.25">
      <c r="A21" s="3" t="s">
        <v>13</v>
      </c>
      <c r="B21" s="3">
        <v>58.8</v>
      </c>
      <c r="C21" s="3">
        <v>8.4</v>
      </c>
      <c r="D21" s="3">
        <v>61.2</v>
      </c>
      <c r="E21" s="3">
        <v>10.5</v>
      </c>
      <c r="F21" s="3">
        <v>92.3</v>
      </c>
      <c r="G21" s="3">
        <v>5.8</v>
      </c>
      <c r="H21" s="3">
        <v>1756</v>
      </c>
      <c r="I21" s="3">
        <v>1620</v>
      </c>
    </row>
    <row r="22" spans="1:9" x14ac:dyDescent="0.25">
      <c r="A22" s="3" t="s">
        <v>13</v>
      </c>
      <c r="B22" s="3">
        <v>58.8</v>
      </c>
      <c r="C22" s="3">
        <v>8.4</v>
      </c>
      <c r="D22" s="3">
        <v>61.2</v>
      </c>
      <c r="E22" s="3">
        <v>10.5</v>
      </c>
      <c r="F22" s="3">
        <v>92.3</v>
      </c>
      <c r="G22" s="3">
        <v>5.8</v>
      </c>
      <c r="H22" s="3">
        <v>1952</v>
      </c>
      <c r="I22" s="3">
        <v>1802</v>
      </c>
    </row>
    <row r="23" spans="1:9" x14ac:dyDescent="0.25">
      <c r="A23" s="3" t="s">
        <v>13</v>
      </c>
      <c r="B23" s="3">
        <v>58.8</v>
      </c>
      <c r="C23" s="3">
        <v>8.4</v>
      </c>
      <c r="D23" s="3">
        <v>61.2</v>
      </c>
      <c r="E23" s="3">
        <v>10.5</v>
      </c>
      <c r="F23" s="3">
        <v>92.3</v>
      </c>
      <c r="G23" s="3">
        <v>5.8</v>
      </c>
      <c r="H23" s="3">
        <v>1852</v>
      </c>
      <c r="I23" s="3">
        <v>1710</v>
      </c>
    </row>
    <row r="24" spans="1:9" x14ac:dyDescent="0.25">
      <c r="A24" s="3" t="s">
        <v>13</v>
      </c>
      <c r="B24" s="3">
        <v>58.8</v>
      </c>
      <c r="C24" s="3">
        <v>8.4</v>
      </c>
      <c r="D24" s="3">
        <v>61.2</v>
      </c>
      <c r="E24" s="3">
        <v>10.5</v>
      </c>
      <c r="F24" s="3">
        <v>92.3</v>
      </c>
      <c r="G24" s="3">
        <v>5.8</v>
      </c>
      <c r="H24" s="3">
        <v>1725</v>
      </c>
      <c r="I24" s="3">
        <v>1592</v>
      </c>
    </row>
    <row r="25" spans="1:9" x14ac:dyDescent="0.25">
      <c r="A25" s="3" t="s">
        <v>13</v>
      </c>
      <c r="B25" s="3">
        <v>58.8</v>
      </c>
      <c r="C25" s="3">
        <v>8.4</v>
      </c>
      <c r="D25" s="3">
        <v>61.2</v>
      </c>
      <c r="E25" s="3">
        <v>10.5</v>
      </c>
      <c r="F25" s="3">
        <v>92.3</v>
      </c>
      <c r="G25" s="3">
        <v>5.8</v>
      </c>
      <c r="H25" s="3">
        <v>1514</v>
      </c>
      <c r="I25" s="3">
        <v>1397</v>
      </c>
    </row>
    <row r="26" spans="1:9" x14ac:dyDescent="0.25">
      <c r="A26" s="3" t="s">
        <v>13</v>
      </c>
      <c r="B26" s="3">
        <v>58.8</v>
      </c>
      <c r="C26" s="3">
        <v>8.4</v>
      </c>
      <c r="D26" s="3">
        <v>61.2</v>
      </c>
      <c r="E26" s="3">
        <v>10.5</v>
      </c>
      <c r="F26" s="3">
        <v>92.3</v>
      </c>
      <c r="G26" s="3">
        <v>5.8</v>
      </c>
      <c r="H26" s="3">
        <v>1445</v>
      </c>
      <c r="I26" s="3">
        <v>1333</v>
      </c>
    </row>
    <row r="27" spans="1:9" x14ac:dyDescent="0.25">
      <c r="A27" s="3" t="s">
        <v>13</v>
      </c>
      <c r="B27" s="3">
        <v>58.8</v>
      </c>
      <c r="C27" s="3">
        <v>8.4</v>
      </c>
      <c r="D27" s="3">
        <v>61.2</v>
      </c>
      <c r="E27" s="3">
        <v>10.5</v>
      </c>
      <c r="F27" s="3">
        <v>92.3</v>
      </c>
      <c r="G27" s="3">
        <v>5.8</v>
      </c>
      <c r="H27" s="3">
        <v>1548</v>
      </c>
      <c r="I27" s="3">
        <v>1429</v>
      </c>
    </row>
    <row r="28" spans="1:9" x14ac:dyDescent="0.25">
      <c r="A28" s="3" t="s">
        <v>13</v>
      </c>
      <c r="B28" s="3">
        <v>58.8</v>
      </c>
      <c r="C28" s="3">
        <v>8.4</v>
      </c>
      <c r="D28" s="3">
        <v>61.2</v>
      </c>
      <c r="E28" s="3">
        <v>10.5</v>
      </c>
      <c r="F28" s="3">
        <v>92.3</v>
      </c>
      <c r="G28" s="3">
        <v>5.8</v>
      </c>
      <c r="H28" s="3">
        <v>1799</v>
      </c>
      <c r="I28" s="3">
        <v>1660</v>
      </c>
    </row>
    <row r="29" spans="1:9" x14ac:dyDescent="0.25">
      <c r="A29" s="3" t="s">
        <v>13</v>
      </c>
      <c r="B29" s="3">
        <v>58.8</v>
      </c>
      <c r="C29" s="3">
        <v>8.4</v>
      </c>
      <c r="D29" s="3">
        <v>61.2</v>
      </c>
      <c r="E29" s="3">
        <v>10.5</v>
      </c>
      <c r="F29" s="3">
        <v>92.3</v>
      </c>
      <c r="G29" s="3">
        <v>5.8</v>
      </c>
      <c r="H29" s="3">
        <v>1537</v>
      </c>
      <c r="I29" s="3">
        <v>1419</v>
      </c>
    </row>
    <row r="30" spans="1:9" x14ac:dyDescent="0.25">
      <c r="A30" s="3" t="s">
        <v>13</v>
      </c>
      <c r="B30" s="3">
        <v>58.8</v>
      </c>
      <c r="C30" s="3">
        <v>8.4</v>
      </c>
      <c r="D30" s="3">
        <v>61.2</v>
      </c>
      <c r="E30" s="3">
        <v>10.5</v>
      </c>
      <c r="F30" s="3">
        <v>92.3</v>
      </c>
      <c r="G30" s="3">
        <v>5.8</v>
      </c>
      <c r="H30" s="3">
        <v>1810</v>
      </c>
      <c r="I30" s="3">
        <v>1671</v>
      </c>
    </row>
    <row r="31" spans="1:9" x14ac:dyDescent="0.25">
      <c r="A31" s="3" t="s">
        <v>13</v>
      </c>
      <c r="B31" s="3">
        <v>58.8</v>
      </c>
      <c r="C31" s="3">
        <v>8.4</v>
      </c>
      <c r="D31" s="3">
        <v>61.2</v>
      </c>
      <c r="E31" s="3">
        <v>10.5</v>
      </c>
      <c r="F31" s="3">
        <v>92.3</v>
      </c>
      <c r="G31" s="3">
        <v>5.8</v>
      </c>
      <c r="H31" s="3">
        <v>1791</v>
      </c>
      <c r="I31" s="3">
        <v>1653</v>
      </c>
    </row>
    <row r="32" spans="1:9" x14ac:dyDescent="0.25">
      <c r="A32" s="3" t="s">
        <v>13</v>
      </c>
      <c r="B32" s="3">
        <v>58.8</v>
      </c>
      <c r="C32" s="3">
        <v>8.4</v>
      </c>
      <c r="D32" s="3">
        <v>61.2</v>
      </c>
      <c r="E32" s="3">
        <v>10.5</v>
      </c>
      <c r="F32" s="3">
        <v>92.3</v>
      </c>
      <c r="G32" s="3">
        <v>5.8</v>
      </c>
      <c r="H32" s="3">
        <v>1854</v>
      </c>
      <c r="I32" s="3">
        <v>1711</v>
      </c>
    </row>
    <row r="33" spans="1:9" x14ac:dyDescent="0.25">
      <c r="A33" s="3" t="s">
        <v>13</v>
      </c>
      <c r="B33" s="3">
        <v>58.8</v>
      </c>
      <c r="C33" s="3">
        <v>8.4</v>
      </c>
      <c r="D33" s="3">
        <v>61.2</v>
      </c>
      <c r="E33" s="3">
        <v>10.5</v>
      </c>
      <c r="F33" s="3">
        <v>92.3</v>
      </c>
      <c r="G33" s="3">
        <v>5.8</v>
      </c>
      <c r="H33" s="3">
        <v>1820</v>
      </c>
      <c r="I33" s="3">
        <v>1680</v>
      </c>
    </row>
    <row r="34" spans="1:9" x14ac:dyDescent="0.25">
      <c r="A34" s="3" t="s">
        <v>13</v>
      </c>
      <c r="B34" s="3">
        <v>58.8</v>
      </c>
      <c r="C34" s="3">
        <v>8.4</v>
      </c>
      <c r="D34" s="3">
        <v>61.2</v>
      </c>
      <c r="E34" s="3">
        <v>10.5</v>
      </c>
      <c r="F34" s="3">
        <v>92.3</v>
      </c>
      <c r="G34" s="3">
        <v>5.8</v>
      </c>
      <c r="H34" s="3">
        <v>1752</v>
      </c>
      <c r="I34" s="3">
        <v>1617</v>
      </c>
    </row>
    <row r="35" spans="1:9" x14ac:dyDescent="0.25">
      <c r="A35" s="3" t="s">
        <v>13</v>
      </c>
      <c r="B35" s="3">
        <v>58.8</v>
      </c>
      <c r="C35" s="3">
        <v>8.4</v>
      </c>
      <c r="D35" s="3">
        <v>61.2</v>
      </c>
      <c r="E35" s="3">
        <v>10.5</v>
      </c>
      <c r="F35" s="3">
        <v>92.3</v>
      </c>
      <c r="G35" s="3">
        <v>5.8</v>
      </c>
      <c r="H35" s="3">
        <v>1643</v>
      </c>
      <c r="I35" s="3">
        <v>1516</v>
      </c>
    </row>
    <row r="36" spans="1:9" x14ac:dyDescent="0.25">
      <c r="A36" s="3" t="s">
        <v>13</v>
      </c>
      <c r="B36" s="3">
        <v>58.8</v>
      </c>
      <c r="C36" s="3">
        <v>8.4</v>
      </c>
      <c r="D36" s="3">
        <v>61.2</v>
      </c>
      <c r="E36" s="3">
        <v>10.5</v>
      </c>
      <c r="F36" s="3">
        <v>92.3</v>
      </c>
      <c r="G36" s="3">
        <v>5.8</v>
      </c>
      <c r="H36" s="3">
        <v>1811</v>
      </c>
      <c r="I36" s="3">
        <v>1671</v>
      </c>
    </row>
    <row r="37" spans="1:9" x14ac:dyDescent="0.25">
      <c r="A37" s="3" t="s">
        <v>13</v>
      </c>
      <c r="B37" s="3">
        <v>58.8</v>
      </c>
      <c r="C37" s="3">
        <v>8.4</v>
      </c>
      <c r="D37" s="3">
        <v>61.2</v>
      </c>
      <c r="E37" s="3">
        <v>10.5</v>
      </c>
      <c r="F37" s="3">
        <v>92.3</v>
      </c>
      <c r="G37" s="3">
        <v>5.8</v>
      </c>
      <c r="H37" s="3">
        <v>1746</v>
      </c>
      <c r="I37" s="3">
        <v>1612</v>
      </c>
    </row>
    <row r="38" spans="1:9" x14ac:dyDescent="0.25">
      <c r="A38" s="3" t="s">
        <v>13</v>
      </c>
      <c r="B38" s="3">
        <v>58.8</v>
      </c>
      <c r="C38" s="3">
        <v>8.4</v>
      </c>
      <c r="D38" s="3">
        <v>61.2</v>
      </c>
      <c r="E38" s="3">
        <v>10.5</v>
      </c>
      <c r="F38" s="3">
        <v>92.3</v>
      </c>
      <c r="G38" s="3">
        <v>5.8</v>
      </c>
      <c r="H38" s="3">
        <v>1660</v>
      </c>
      <c r="I38" s="3">
        <v>1532</v>
      </c>
    </row>
    <row r="39" spans="1:9" x14ac:dyDescent="0.25">
      <c r="A39" s="3" t="s">
        <v>13</v>
      </c>
      <c r="B39" s="3">
        <v>58.8</v>
      </c>
      <c r="C39" s="3">
        <v>8.4</v>
      </c>
      <c r="D39" s="3">
        <v>61.2</v>
      </c>
      <c r="E39" s="3">
        <v>10.5</v>
      </c>
      <c r="F39" s="3">
        <v>92.3</v>
      </c>
      <c r="G39" s="3">
        <v>5.8</v>
      </c>
      <c r="H39" s="3">
        <v>1873</v>
      </c>
      <c r="I39" s="3">
        <v>1729</v>
      </c>
    </row>
    <row r="40" spans="1:9" x14ac:dyDescent="0.25">
      <c r="A40" s="3" t="s">
        <v>13</v>
      </c>
      <c r="B40" s="3">
        <v>58.8</v>
      </c>
      <c r="C40" s="3">
        <v>8.4</v>
      </c>
      <c r="D40" s="3">
        <v>61.2</v>
      </c>
      <c r="E40" s="3">
        <v>10.5</v>
      </c>
      <c r="F40" s="3">
        <v>92.3</v>
      </c>
      <c r="G40" s="3">
        <v>5.8</v>
      </c>
      <c r="H40" s="3">
        <v>1252</v>
      </c>
      <c r="I40" s="3">
        <v>1156</v>
      </c>
    </row>
    <row r="41" spans="1:9" x14ac:dyDescent="0.25">
      <c r="A41" s="3" t="s">
        <v>13</v>
      </c>
      <c r="B41" s="3">
        <v>58.8</v>
      </c>
      <c r="C41" s="3">
        <v>8.4</v>
      </c>
      <c r="D41" s="3">
        <v>61.2</v>
      </c>
      <c r="E41" s="3">
        <v>10.5</v>
      </c>
      <c r="F41" s="3">
        <v>92.3</v>
      </c>
      <c r="G41" s="3">
        <v>5.8</v>
      </c>
      <c r="H41" s="3">
        <v>1268</v>
      </c>
      <c r="I41" s="3">
        <v>1170</v>
      </c>
    </row>
    <row r="42" spans="1:9" x14ac:dyDescent="0.25">
      <c r="A42" s="3" t="s">
        <v>13</v>
      </c>
      <c r="B42" s="3">
        <v>58.8</v>
      </c>
      <c r="C42" s="3">
        <v>8.4</v>
      </c>
      <c r="D42" s="3">
        <v>61.2</v>
      </c>
      <c r="E42" s="3">
        <v>10.5</v>
      </c>
      <c r="F42" s="3">
        <v>92.3</v>
      </c>
      <c r="G42" s="3">
        <v>5.8</v>
      </c>
      <c r="H42" s="3">
        <v>1538</v>
      </c>
      <c r="I42" s="3">
        <v>1419</v>
      </c>
    </row>
    <row r="43" spans="1:9" x14ac:dyDescent="0.25">
      <c r="A43" s="3" t="s">
        <v>13</v>
      </c>
      <c r="B43" s="3">
        <v>58.8</v>
      </c>
      <c r="C43" s="3">
        <v>8.4</v>
      </c>
      <c r="D43" s="3">
        <v>61.2</v>
      </c>
      <c r="E43" s="3">
        <v>10.5</v>
      </c>
      <c r="F43" s="3">
        <v>92.3</v>
      </c>
      <c r="G43" s="3">
        <v>5.8</v>
      </c>
      <c r="H43" s="3">
        <v>1445</v>
      </c>
      <c r="I43" s="3">
        <v>1334</v>
      </c>
    </row>
    <row r="44" spans="1:9" x14ac:dyDescent="0.25">
      <c r="A44" s="3" t="s">
        <v>13</v>
      </c>
      <c r="B44" s="3">
        <v>58.8</v>
      </c>
      <c r="C44" s="3">
        <v>8.4</v>
      </c>
      <c r="D44" s="3">
        <v>61.2</v>
      </c>
      <c r="E44" s="3">
        <v>10.5</v>
      </c>
      <c r="F44" s="3">
        <v>92.3</v>
      </c>
      <c r="G44" s="3">
        <v>5.8</v>
      </c>
      <c r="H44" s="3">
        <v>1305</v>
      </c>
      <c r="I44" s="3">
        <v>1205</v>
      </c>
    </row>
    <row r="45" spans="1:9" x14ac:dyDescent="0.25">
      <c r="A45" s="3" t="s">
        <v>13</v>
      </c>
      <c r="B45" s="3">
        <v>58.8</v>
      </c>
      <c r="C45" s="3">
        <v>8.4</v>
      </c>
      <c r="D45" s="3">
        <v>61.2</v>
      </c>
      <c r="E45" s="3">
        <v>10.5</v>
      </c>
      <c r="F45" s="3">
        <v>92.3</v>
      </c>
      <c r="G45" s="3">
        <v>5.8</v>
      </c>
      <c r="H45" s="3">
        <v>1334</v>
      </c>
      <c r="I45" s="3">
        <v>1232</v>
      </c>
    </row>
    <row r="46" spans="1:9" x14ac:dyDescent="0.25">
      <c r="A46" s="3" t="s">
        <v>13</v>
      </c>
      <c r="B46" s="3">
        <v>58.8</v>
      </c>
      <c r="C46" s="3">
        <v>8.4</v>
      </c>
      <c r="D46" s="3">
        <v>61.2</v>
      </c>
      <c r="E46" s="3">
        <v>10.5</v>
      </c>
      <c r="F46" s="3">
        <v>92.3</v>
      </c>
      <c r="G46" s="3">
        <v>5.8</v>
      </c>
      <c r="H46" s="3">
        <v>1330</v>
      </c>
      <c r="I46" s="3">
        <v>1227</v>
      </c>
    </row>
    <row r="47" spans="1:9" x14ac:dyDescent="0.25">
      <c r="A47" s="3" t="s">
        <v>13</v>
      </c>
      <c r="B47" s="3">
        <v>58.8</v>
      </c>
      <c r="C47" s="3">
        <v>8.4</v>
      </c>
      <c r="D47" s="3">
        <v>61.2</v>
      </c>
      <c r="E47" s="3">
        <v>10.5</v>
      </c>
      <c r="F47" s="3">
        <v>92.3</v>
      </c>
      <c r="G47" s="3">
        <v>5.8</v>
      </c>
      <c r="H47" s="3">
        <v>1269</v>
      </c>
      <c r="I47" s="3">
        <v>1172</v>
      </c>
    </row>
    <row r="48" spans="1:9" x14ac:dyDescent="0.25">
      <c r="A48" s="3" t="s">
        <v>14</v>
      </c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3" t="s">
        <v>14</v>
      </c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3" t="s">
        <v>14</v>
      </c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3" t="s">
        <v>14</v>
      </c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3" t="s">
        <v>14</v>
      </c>
      <c r="B52" s="3">
        <v>63.6</v>
      </c>
      <c r="C52" s="3">
        <v>9.1999999999999993</v>
      </c>
      <c r="D52" s="3">
        <v>65.5</v>
      </c>
      <c r="E52" s="3">
        <v>12.5</v>
      </c>
      <c r="F52" s="3">
        <v>92.2</v>
      </c>
      <c r="G52" s="3">
        <v>6.3</v>
      </c>
      <c r="H52" s="3">
        <v>2073</v>
      </c>
      <c r="I52" s="3">
        <v>1911</v>
      </c>
    </row>
    <row r="53" spans="1:9" x14ac:dyDescent="0.25">
      <c r="A53" s="3" t="s">
        <v>14</v>
      </c>
      <c r="B53" s="3">
        <v>63.6</v>
      </c>
      <c r="C53" s="3">
        <v>9.1999999999999993</v>
      </c>
      <c r="D53" s="3">
        <v>65.5</v>
      </c>
      <c r="E53" s="3">
        <v>12.5</v>
      </c>
      <c r="F53" s="3">
        <v>92.2</v>
      </c>
      <c r="G53" s="3">
        <v>6.3</v>
      </c>
      <c r="H53" s="3">
        <v>2071</v>
      </c>
      <c r="I53" s="3">
        <v>1909</v>
      </c>
    </row>
    <row r="54" spans="1:9" x14ac:dyDescent="0.25">
      <c r="A54" s="3" t="s">
        <v>14</v>
      </c>
      <c r="B54" s="3">
        <v>63.6</v>
      </c>
      <c r="C54" s="3">
        <v>9.1999999999999993</v>
      </c>
      <c r="D54" s="3">
        <v>65.5</v>
      </c>
      <c r="E54" s="3">
        <v>12.5</v>
      </c>
      <c r="F54" s="3">
        <v>92.2</v>
      </c>
      <c r="G54" s="3">
        <v>6.3</v>
      </c>
      <c r="H54" s="3">
        <v>2060</v>
      </c>
      <c r="I54" s="3">
        <v>1899</v>
      </c>
    </row>
    <row r="55" spans="1:9" x14ac:dyDescent="0.25">
      <c r="A55" s="3" t="s">
        <v>14</v>
      </c>
      <c r="B55" s="3">
        <v>63.6</v>
      </c>
      <c r="C55" s="3">
        <v>9.1999999999999993</v>
      </c>
      <c r="D55" s="3">
        <v>65.5</v>
      </c>
      <c r="E55" s="3">
        <v>12.5</v>
      </c>
      <c r="F55" s="3">
        <v>92.2</v>
      </c>
      <c r="G55" s="3">
        <v>6.3</v>
      </c>
      <c r="H55" s="3">
        <v>2172</v>
      </c>
      <c r="I55" s="3">
        <v>2003</v>
      </c>
    </row>
    <row r="56" spans="1:9" x14ac:dyDescent="0.25">
      <c r="A56" s="3" t="s">
        <v>14</v>
      </c>
      <c r="B56" s="3">
        <v>63.6</v>
      </c>
      <c r="C56" s="3">
        <v>9.1999999999999993</v>
      </c>
      <c r="D56" s="3">
        <v>65.5</v>
      </c>
      <c r="E56" s="3">
        <v>12.5</v>
      </c>
      <c r="F56" s="3">
        <v>92.2</v>
      </c>
      <c r="G56" s="3">
        <v>6.3</v>
      </c>
      <c r="H56" s="3">
        <v>2015</v>
      </c>
      <c r="I56" s="3">
        <v>1858</v>
      </c>
    </row>
    <row r="57" spans="1:9" x14ac:dyDescent="0.25">
      <c r="A57" s="3" t="s">
        <v>14</v>
      </c>
      <c r="B57" s="3">
        <v>63.6</v>
      </c>
      <c r="C57" s="3">
        <v>9.1999999999999993</v>
      </c>
      <c r="D57" s="3">
        <v>65.5</v>
      </c>
      <c r="E57" s="3">
        <v>12.5</v>
      </c>
      <c r="F57" s="3">
        <v>92.2</v>
      </c>
      <c r="G57" s="3">
        <v>6.3</v>
      </c>
      <c r="H57" s="3">
        <v>1914</v>
      </c>
      <c r="I57" s="3">
        <v>1765</v>
      </c>
    </row>
    <row r="58" spans="1:9" x14ac:dyDescent="0.25">
      <c r="A58" s="3" t="s">
        <v>14</v>
      </c>
      <c r="B58" s="3">
        <v>63.6</v>
      </c>
      <c r="C58" s="3">
        <v>9.1999999999999993</v>
      </c>
      <c r="D58" s="3">
        <v>65.5</v>
      </c>
      <c r="E58" s="3">
        <v>12.5</v>
      </c>
      <c r="F58" s="3">
        <v>92.2</v>
      </c>
      <c r="G58" s="3">
        <v>6.3</v>
      </c>
      <c r="H58" s="3">
        <v>2119</v>
      </c>
      <c r="I58" s="3">
        <v>1953</v>
      </c>
    </row>
    <row r="59" spans="1:9" x14ac:dyDescent="0.25">
      <c r="A59" s="3" t="s">
        <v>14</v>
      </c>
      <c r="B59" s="3">
        <v>63.6</v>
      </c>
      <c r="C59" s="3">
        <v>9.1999999999999993</v>
      </c>
      <c r="D59" s="3">
        <v>65.5</v>
      </c>
      <c r="E59" s="3">
        <v>12.5</v>
      </c>
      <c r="F59" s="3">
        <v>92.2</v>
      </c>
      <c r="G59" s="3">
        <v>6.3</v>
      </c>
      <c r="H59" s="3">
        <v>2083</v>
      </c>
      <c r="I59" s="3">
        <v>1921</v>
      </c>
    </row>
    <row r="60" spans="1:9" x14ac:dyDescent="0.25">
      <c r="A60" s="3" t="s">
        <v>14</v>
      </c>
      <c r="B60" s="3">
        <v>63.6</v>
      </c>
      <c r="C60" s="3">
        <v>9.1999999999999993</v>
      </c>
      <c r="D60" s="3">
        <v>65.5</v>
      </c>
      <c r="E60" s="3">
        <v>12.5</v>
      </c>
      <c r="F60" s="3">
        <v>92.2</v>
      </c>
      <c r="G60" s="3">
        <v>6.3</v>
      </c>
      <c r="H60" s="3">
        <v>1910</v>
      </c>
      <c r="I60" s="3">
        <v>1761</v>
      </c>
    </row>
    <row r="61" spans="1:9" x14ac:dyDescent="0.25">
      <c r="A61" s="3" t="s">
        <v>14</v>
      </c>
      <c r="B61" s="3">
        <v>63.6</v>
      </c>
      <c r="C61" s="3">
        <v>9.1999999999999993</v>
      </c>
      <c r="D61" s="3">
        <v>65.5</v>
      </c>
      <c r="E61" s="3">
        <v>12.5</v>
      </c>
      <c r="F61" s="3">
        <v>92.2</v>
      </c>
      <c r="G61" s="3">
        <v>6.3</v>
      </c>
      <c r="H61" s="3">
        <v>2054</v>
      </c>
      <c r="I61" s="3">
        <v>1894</v>
      </c>
    </row>
    <row r="62" spans="1:9" x14ac:dyDescent="0.25">
      <c r="A62" s="3" t="s">
        <v>14</v>
      </c>
      <c r="B62" s="3">
        <v>63.6</v>
      </c>
      <c r="C62" s="3">
        <v>9.1999999999999993</v>
      </c>
      <c r="D62" s="3">
        <v>65.5</v>
      </c>
      <c r="E62" s="3">
        <v>12.5</v>
      </c>
      <c r="F62" s="3">
        <v>92.2</v>
      </c>
      <c r="G62" s="3">
        <v>6.3</v>
      </c>
      <c r="H62" s="3">
        <v>2013</v>
      </c>
      <c r="I62" s="3">
        <v>1856</v>
      </c>
    </row>
    <row r="63" spans="1:9" x14ac:dyDescent="0.25">
      <c r="A63" s="3" t="s">
        <v>14</v>
      </c>
      <c r="B63" s="3">
        <v>63.6</v>
      </c>
      <c r="C63" s="3">
        <v>9.1999999999999993</v>
      </c>
      <c r="D63" s="3">
        <v>65.5</v>
      </c>
      <c r="E63" s="3">
        <v>12.5</v>
      </c>
      <c r="F63" s="3">
        <v>92.2</v>
      </c>
      <c r="G63" s="3">
        <v>6.3</v>
      </c>
      <c r="H63" s="3">
        <v>1864</v>
      </c>
      <c r="I63" s="3">
        <v>1719</v>
      </c>
    </row>
    <row r="64" spans="1:9" x14ac:dyDescent="0.25">
      <c r="A64" s="3" t="s">
        <v>14</v>
      </c>
      <c r="B64" s="3">
        <v>63.6</v>
      </c>
      <c r="C64" s="3">
        <v>9.1999999999999993</v>
      </c>
      <c r="D64" s="3">
        <v>65.5</v>
      </c>
      <c r="E64" s="3">
        <v>12.5</v>
      </c>
      <c r="F64" s="3">
        <v>92.2</v>
      </c>
      <c r="G64" s="3">
        <v>6.3</v>
      </c>
      <c r="H64" s="3">
        <v>2048</v>
      </c>
      <c r="I64" s="3">
        <v>1888</v>
      </c>
    </row>
    <row r="65" spans="1:9" x14ac:dyDescent="0.25">
      <c r="A65" s="3" t="s">
        <v>14</v>
      </c>
      <c r="B65" s="3">
        <v>63.6</v>
      </c>
      <c r="C65" s="3">
        <v>9.1999999999999993</v>
      </c>
      <c r="D65" s="3">
        <v>65.5</v>
      </c>
      <c r="E65" s="3">
        <v>12.5</v>
      </c>
      <c r="F65" s="3">
        <v>92.2</v>
      </c>
      <c r="G65" s="3">
        <v>6.3</v>
      </c>
      <c r="H65" s="3">
        <v>2069</v>
      </c>
      <c r="I65" s="3">
        <v>1907</v>
      </c>
    </row>
    <row r="66" spans="1:9" x14ac:dyDescent="0.25">
      <c r="A66" s="3" t="s">
        <v>14</v>
      </c>
      <c r="B66" s="3">
        <v>63.6</v>
      </c>
      <c r="C66" s="3">
        <v>9.1999999999999993</v>
      </c>
      <c r="D66" s="3">
        <v>65.5</v>
      </c>
      <c r="E66" s="3">
        <v>12.5</v>
      </c>
      <c r="F66" s="3">
        <v>92.2</v>
      </c>
      <c r="G66" s="3">
        <v>6.3</v>
      </c>
      <c r="H66" s="3">
        <v>2050</v>
      </c>
      <c r="I66" s="3">
        <v>1890</v>
      </c>
    </row>
    <row r="67" spans="1:9" x14ac:dyDescent="0.25">
      <c r="A67" s="3" t="s">
        <v>14</v>
      </c>
      <c r="B67" s="3">
        <v>63.6</v>
      </c>
      <c r="C67" s="3">
        <v>9.1999999999999993</v>
      </c>
      <c r="D67" s="3">
        <v>65.5</v>
      </c>
      <c r="E67" s="3">
        <v>12.5</v>
      </c>
      <c r="F67" s="3">
        <v>92.2</v>
      </c>
      <c r="G67" s="3">
        <v>6.3</v>
      </c>
      <c r="H67" s="3">
        <v>1638</v>
      </c>
      <c r="I67" s="3">
        <v>1510</v>
      </c>
    </row>
    <row r="68" spans="1:9" x14ac:dyDescent="0.25">
      <c r="A68" s="3" t="s">
        <v>14</v>
      </c>
      <c r="B68" s="3">
        <v>63.6</v>
      </c>
      <c r="C68" s="3">
        <v>9.1999999999999993</v>
      </c>
      <c r="D68" s="3">
        <v>65.5</v>
      </c>
      <c r="E68" s="3">
        <v>12.5</v>
      </c>
      <c r="F68" s="3">
        <v>92.2</v>
      </c>
      <c r="G68" s="3">
        <v>6.3</v>
      </c>
      <c r="H68" s="3">
        <v>2086</v>
      </c>
      <c r="I68" s="3">
        <v>1924</v>
      </c>
    </row>
    <row r="69" spans="1:9" x14ac:dyDescent="0.25">
      <c r="A69" s="3" t="s">
        <v>14</v>
      </c>
      <c r="B69" s="3">
        <v>63.6</v>
      </c>
      <c r="C69" s="3">
        <v>9.1999999999999993</v>
      </c>
      <c r="D69" s="3">
        <v>65.5</v>
      </c>
      <c r="E69" s="3">
        <v>12.5</v>
      </c>
      <c r="F69" s="3">
        <v>92.2</v>
      </c>
      <c r="G69" s="3">
        <v>6.3</v>
      </c>
      <c r="H69" s="3">
        <v>1844</v>
      </c>
      <c r="I69" s="3">
        <v>1700</v>
      </c>
    </row>
    <row r="70" spans="1:9" x14ac:dyDescent="0.25">
      <c r="A70" s="3" t="s">
        <v>14</v>
      </c>
      <c r="B70" s="3">
        <v>63.6</v>
      </c>
      <c r="C70" s="3">
        <v>9.1999999999999993</v>
      </c>
      <c r="D70" s="3">
        <v>65.5</v>
      </c>
      <c r="E70" s="3">
        <v>12.5</v>
      </c>
      <c r="F70" s="3">
        <v>92.2</v>
      </c>
      <c r="G70" s="3">
        <v>6.3</v>
      </c>
      <c r="H70" s="3">
        <v>2086</v>
      </c>
      <c r="I70" s="3">
        <v>1924</v>
      </c>
    </row>
    <row r="71" spans="1:9" x14ac:dyDescent="0.25">
      <c r="A71" s="3" t="s">
        <v>14</v>
      </c>
      <c r="B71" s="3">
        <v>63.6</v>
      </c>
      <c r="C71" s="3">
        <v>9.1999999999999993</v>
      </c>
      <c r="D71" s="3">
        <v>65.5</v>
      </c>
      <c r="E71" s="3">
        <v>12.5</v>
      </c>
      <c r="F71" s="3">
        <v>92.2</v>
      </c>
      <c r="G71" s="3">
        <v>6.3</v>
      </c>
      <c r="H71" s="3">
        <v>1877</v>
      </c>
      <c r="I71" s="3">
        <v>1731</v>
      </c>
    </row>
    <row r="72" spans="1:9" x14ac:dyDescent="0.25">
      <c r="A72" s="3" t="s">
        <v>14</v>
      </c>
      <c r="B72" s="3">
        <v>63.6</v>
      </c>
      <c r="C72" s="3">
        <v>9.1999999999999993</v>
      </c>
      <c r="D72" s="3">
        <v>65.5</v>
      </c>
      <c r="E72" s="3">
        <v>12.5</v>
      </c>
      <c r="F72" s="3">
        <v>92.2</v>
      </c>
      <c r="G72" s="3">
        <v>6.3</v>
      </c>
      <c r="H72" s="3">
        <v>2158</v>
      </c>
      <c r="I72" s="3">
        <v>1989</v>
      </c>
    </row>
    <row r="73" spans="1:9" x14ac:dyDescent="0.25">
      <c r="A73" s="3" t="s">
        <v>14</v>
      </c>
      <c r="B73" s="3">
        <v>63.6</v>
      </c>
      <c r="C73" s="3">
        <v>9.1999999999999993</v>
      </c>
      <c r="D73" s="3">
        <v>65.5</v>
      </c>
      <c r="E73" s="3">
        <v>12.5</v>
      </c>
      <c r="F73" s="3">
        <v>92.2</v>
      </c>
      <c r="G73" s="3">
        <v>6.3</v>
      </c>
      <c r="H73" s="3">
        <v>2056</v>
      </c>
      <c r="I73" s="3">
        <v>1896</v>
      </c>
    </row>
    <row r="74" spans="1:9" x14ac:dyDescent="0.25">
      <c r="A74" s="3" t="s">
        <v>14</v>
      </c>
      <c r="B74" s="3">
        <v>63.6</v>
      </c>
      <c r="C74" s="3">
        <v>9.1999999999999993</v>
      </c>
      <c r="D74" s="3">
        <v>65.5</v>
      </c>
      <c r="E74" s="3">
        <v>12.5</v>
      </c>
      <c r="F74" s="3">
        <v>92.2</v>
      </c>
      <c r="G74" s="3">
        <v>6.3</v>
      </c>
      <c r="H74" s="3">
        <v>1892</v>
      </c>
      <c r="I74" s="3">
        <v>1745</v>
      </c>
    </row>
    <row r="75" spans="1:9" x14ac:dyDescent="0.25">
      <c r="A75" s="3" t="s">
        <v>14</v>
      </c>
      <c r="B75" s="3">
        <v>63.6</v>
      </c>
      <c r="C75" s="3">
        <v>9.1999999999999993</v>
      </c>
      <c r="D75" s="3">
        <v>65.5</v>
      </c>
      <c r="E75" s="3">
        <v>12.5</v>
      </c>
      <c r="F75" s="3">
        <v>92.2</v>
      </c>
      <c r="G75" s="3">
        <v>6.3</v>
      </c>
      <c r="H75" s="3">
        <v>2016</v>
      </c>
      <c r="I75" s="3">
        <v>1859</v>
      </c>
    </row>
    <row r="76" spans="1:9" x14ac:dyDescent="0.25">
      <c r="A76" s="3" t="s">
        <v>14</v>
      </c>
      <c r="B76" s="3">
        <v>63.6</v>
      </c>
      <c r="C76" s="3">
        <v>9.1999999999999993</v>
      </c>
      <c r="D76" s="3">
        <v>65.5</v>
      </c>
      <c r="E76" s="3">
        <v>12.5</v>
      </c>
      <c r="F76" s="3">
        <v>92.2</v>
      </c>
      <c r="G76" s="3">
        <v>6.3</v>
      </c>
      <c r="H76" s="3">
        <v>2114</v>
      </c>
      <c r="I76" s="3">
        <v>1949</v>
      </c>
    </row>
    <row r="77" spans="1:9" x14ac:dyDescent="0.25">
      <c r="A77" s="3" t="s">
        <v>14</v>
      </c>
      <c r="B77" s="3">
        <v>63.6</v>
      </c>
      <c r="C77" s="3">
        <v>9.1999999999999993</v>
      </c>
      <c r="D77" s="3">
        <v>65.5</v>
      </c>
      <c r="E77" s="3">
        <v>12.5</v>
      </c>
      <c r="F77" s="3">
        <v>92.2</v>
      </c>
      <c r="G77" s="3">
        <v>6.3</v>
      </c>
      <c r="H77" s="3">
        <v>2023</v>
      </c>
      <c r="I77" s="3">
        <v>1865</v>
      </c>
    </row>
    <row r="78" spans="1:9" x14ac:dyDescent="0.25">
      <c r="A78" s="3" t="s">
        <v>14</v>
      </c>
      <c r="B78" s="3">
        <v>63.6</v>
      </c>
      <c r="C78" s="3">
        <v>9.1999999999999993</v>
      </c>
      <c r="D78" s="3">
        <v>65.5</v>
      </c>
      <c r="E78" s="3">
        <v>12.5</v>
      </c>
      <c r="F78" s="3">
        <v>92.2</v>
      </c>
      <c r="G78" s="3">
        <v>6.3</v>
      </c>
      <c r="H78" s="3">
        <v>2083</v>
      </c>
      <c r="I78" s="3">
        <v>1920</v>
      </c>
    </row>
    <row r="79" spans="1:9" x14ac:dyDescent="0.25">
      <c r="A79" s="3" t="s">
        <v>14</v>
      </c>
      <c r="B79" s="3">
        <v>63.6</v>
      </c>
      <c r="C79" s="3">
        <v>9.1999999999999993</v>
      </c>
      <c r="D79" s="3">
        <v>65.5</v>
      </c>
      <c r="E79" s="3">
        <v>12.5</v>
      </c>
      <c r="F79" s="3">
        <v>92.2</v>
      </c>
      <c r="G79" s="3">
        <v>6.3</v>
      </c>
      <c r="H79" s="3">
        <v>2003</v>
      </c>
      <c r="I79" s="3">
        <v>1846</v>
      </c>
    </row>
    <row r="80" spans="1:9" x14ac:dyDescent="0.25">
      <c r="A80" s="3" t="s">
        <v>14</v>
      </c>
      <c r="B80" s="3">
        <v>63.6</v>
      </c>
      <c r="C80" s="3">
        <v>9.1999999999999993</v>
      </c>
      <c r="D80" s="3">
        <v>65.5</v>
      </c>
      <c r="E80" s="3">
        <v>12.5</v>
      </c>
      <c r="F80" s="3">
        <v>92.2</v>
      </c>
      <c r="G80" s="3">
        <v>6.3</v>
      </c>
      <c r="H80" s="3">
        <v>1941</v>
      </c>
      <c r="I80" s="3">
        <v>1790</v>
      </c>
    </row>
    <row r="81" spans="1:9" x14ac:dyDescent="0.25">
      <c r="A81" s="3" t="s">
        <v>14</v>
      </c>
      <c r="B81" s="3">
        <v>63.6</v>
      </c>
      <c r="C81" s="3">
        <v>9.1999999999999993</v>
      </c>
      <c r="D81" s="3">
        <v>65.5</v>
      </c>
      <c r="E81" s="3">
        <v>12.5</v>
      </c>
      <c r="F81" s="3">
        <v>92.2</v>
      </c>
      <c r="G81" s="3">
        <v>6.3</v>
      </c>
      <c r="H81" s="3">
        <v>1896</v>
      </c>
      <c r="I81" s="3">
        <v>1748</v>
      </c>
    </row>
    <row r="82" spans="1:9" x14ac:dyDescent="0.25">
      <c r="A82" s="3" t="s">
        <v>14</v>
      </c>
      <c r="B82" s="3">
        <v>63.6</v>
      </c>
      <c r="C82" s="3">
        <v>9.1999999999999993</v>
      </c>
      <c r="D82" s="3">
        <v>65.5</v>
      </c>
      <c r="E82" s="3">
        <v>12.5</v>
      </c>
      <c r="F82" s="3">
        <v>92.2</v>
      </c>
      <c r="G82" s="3">
        <v>6.3</v>
      </c>
      <c r="H82" s="3">
        <v>1960</v>
      </c>
      <c r="I82" s="3">
        <v>1807</v>
      </c>
    </row>
    <row r="83" spans="1:9" x14ac:dyDescent="0.25">
      <c r="A83" s="3" t="s">
        <v>14</v>
      </c>
      <c r="B83" s="3">
        <v>63.6</v>
      </c>
      <c r="C83" s="3">
        <v>9.1999999999999993</v>
      </c>
      <c r="D83" s="3">
        <v>65.5</v>
      </c>
      <c r="E83" s="3">
        <v>12.5</v>
      </c>
      <c r="F83" s="3">
        <v>92.2</v>
      </c>
      <c r="G83" s="3">
        <v>6.3</v>
      </c>
      <c r="H83" s="3">
        <v>2027</v>
      </c>
      <c r="I83" s="3">
        <v>1869</v>
      </c>
    </row>
    <row r="84" spans="1:9" x14ac:dyDescent="0.25">
      <c r="A84" s="3" t="s">
        <v>14</v>
      </c>
      <c r="B84" s="3">
        <v>63.6</v>
      </c>
      <c r="C84" s="3">
        <v>9.1999999999999993</v>
      </c>
      <c r="D84" s="3">
        <v>65.5</v>
      </c>
      <c r="E84" s="3">
        <v>12.5</v>
      </c>
      <c r="F84" s="3">
        <v>92.2</v>
      </c>
      <c r="G84" s="3">
        <v>6.3</v>
      </c>
      <c r="H84" s="3">
        <v>1839</v>
      </c>
      <c r="I84" s="3">
        <v>1696</v>
      </c>
    </row>
    <row r="85" spans="1:9" x14ac:dyDescent="0.25">
      <c r="A85" s="3" t="s">
        <v>14</v>
      </c>
      <c r="B85" s="3">
        <v>63.6</v>
      </c>
      <c r="C85" s="3">
        <v>9.1999999999999993</v>
      </c>
      <c r="D85" s="3">
        <v>65.5</v>
      </c>
      <c r="E85" s="3">
        <v>12.5</v>
      </c>
      <c r="F85" s="3">
        <v>92.2</v>
      </c>
      <c r="G85" s="3">
        <v>6.3</v>
      </c>
      <c r="H85" s="3">
        <v>2219</v>
      </c>
      <c r="I85" s="3">
        <v>2045</v>
      </c>
    </row>
    <row r="86" spans="1:9" x14ac:dyDescent="0.25">
      <c r="A86" s="3" t="s">
        <v>14</v>
      </c>
      <c r="B86" s="3">
        <v>63.6</v>
      </c>
      <c r="C86" s="3">
        <v>9.1999999999999993</v>
      </c>
      <c r="D86" s="3">
        <v>65.5</v>
      </c>
      <c r="E86" s="3">
        <v>12.5</v>
      </c>
      <c r="F86" s="3">
        <v>92.2</v>
      </c>
      <c r="G86" s="3">
        <v>6.3</v>
      </c>
      <c r="H86" s="3">
        <v>1937</v>
      </c>
      <c r="I86" s="3">
        <v>1786</v>
      </c>
    </row>
    <row r="87" spans="1:9" x14ac:dyDescent="0.25">
      <c r="A87" s="3" t="s">
        <v>14</v>
      </c>
      <c r="B87" s="3">
        <v>63.6</v>
      </c>
      <c r="C87" s="3">
        <v>9.1999999999999993</v>
      </c>
      <c r="D87" s="3">
        <v>65.5</v>
      </c>
      <c r="E87" s="3">
        <v>12.5</v>
      </c>
      <c r="F87" s="3">
        <v>92.2</v>
      </c>
      <c r="G87" s="3">
        <v>6.3</v>
      </c>
      <c r="H87" s="3">
        <v>2022</v>
      </c>
      <c r="I87" s="3">
        <v>1865</v>
      </c>
    </row>
    <row r="88" spans="1:9" x14ac:dyDescent="0.25">
      <c r="A88" s="3" t="s">
        <v>14</v>
      </c>
      <c r="B88" s="3">
        <v>63.6</v>
      </c>
      <c r="C88" s="3">
        <v>9.1999999999999993</v>
      </c>
      <c r="D88" s="3">
        <v>65.5</v>
      </c>
      <c r="E88" s="3">
        <v>12.5</v>
      </c>
      <c r="F88" s="3">
        <v>92.2</v>
      </c>
      <c r="G88" s="3">
        <v>6.3</v>
      </c>
      <c r="H88" s="3">
        <v>1919</v>
      </c>
      <c r="I88" s="3">
        <v>1770</v>
      </c>
    </row>
    <row r="89" spans="1:9" x14ac:dyDescent="0.25">
      <c r="A89" s="3" t="s">
        <v>14</v>
      </c>
      <c r="B89" s="3">
        <v>63.6</v>
      </c>
      <c r="C89" s="3">
        <v>9.1999999999999993</v>
      </c>
      <c r="D89" s="3">
        <v>65.5</v>
      </c>
      <c r="E89" s="3">
        <v>12.5</v>
      </c>
      <c r="F89" s="3">
        <v>92.2</v>
      </c>
      <c r="G89" s="3">
        <v>6.3</v>
      </c>
      <c r="H89" s="3">
        <v>1922</v>
      </c>
      <c r="I89" s="3">
        <v>1772</v>
      </c>
    </row>
    <row r="90" spans="1:9" x14ac:dyDescent="0.25">
      <c r="A90" s="3" t="s">
        <v>14</v>
      </c>
      <c r="B90" s="3">
        <v>63.6</v>
      </c>
      <c r="C90" s="3">
        <v>9.1999999999999993</v>
      </c>
      <c r="D90" s="3">
        <v>65.5</v>
      </c>
      <c r="E90" s="3">
        <v>12.5</v>
      </c>
      <c r="F90" s="3">
        <v>92.2</v>
      </c>
      <c r="G90" s="3">
        <v>6.3</v>
      </c>
      <c r="H90" s="3">
        <v>1931</v>
      </c>
      <c r="I90" s="3">
        <v>1780</v>
      </c>
    </row>
    <row r="91" spans="1:9" x14ac:dyDescent="0.25">
      <c r="A91" s="3" t="s">
        <v>14</v>
      </c>
      <c r="B91" s="3">
        <v>63.6</v>
      </c>
      <c r="C91" s="3">
        <v>9.1999999999999993</v>
      </c>
      <c r="D91" s="3">
        <v>65.5</v>
      </c>
      <c r="E91" s="3">
        <v>12.5</v>
      </c>
      <c r="F91" s="3">
        <v>92.2</v>
      </c>
      <c r="G91" s="3">
        <v>6.3</v>
      </c>
      <c r="H91" s="3">
        <v>1405</v>
      </c>
      <c r="I91" s="3">
        <v>1296</v>
      </c>
    </row>
    <row r="92" spans="1:9" x14ac:dyDescent="0.25">
      <c r="A92" s="3" t="s">
        <v>14</v>
      </c>
      <c r="B92" s="3">
        <v>63.6</v>
      </c>
      <c r="C92" s="3">
        <v>9.1999999999999993</v>
      </c>
      <c r="D92" s="3">
        <v>65.5</v>
      </c>
      <c r="E92" s="3">
        <v>12.5</v>
      </c>
      <c r="F92" s="3">
        <v>92.2</v>
      </c>
      <c r="G92" s="3">
        <v>6.3</v>
      </c>
      <c r="H92" s="3">
        <v>1486</v>
      </c>
      <c r="I92" s="3">
        <v>1370</v>
      </c>
    </row>
    <row r="93" spans="1:9" x14ac:dyDescent="0.25">
      <c r="A93" s="3" t="s">
        <v>14</v>
      </c>
      <c r="B93" s="3">
        <v>63.6</v>
      </c>
      <c r="C93" s="3">
        <v>9.1999999999999993</v>
      </c>
      <c r="D93" s="3">
        <v>65.5</v>
      </c>
      <c r="E93" s="3">
        <v>12.5</v>
      </c>
      <c r="F93" s="3">
        <v>92.2</v>
      </c>
      <c r="G93" s="3">
        <v>6.3</v>
      </c>
      <c r="H93" s="3">
        <v>1008</v>
      </c>
      <c r="I93" s="3">
        <v>929</v>
      </c>
    </row>
    <row r="94" spans="1:9" x14ac:dyDescent="0.25">
      <c r="A94" s="3" t="s">
        <v>14</v>
      </c>
      <c r="B94" s="3">
        <v>63.6</v>
      </c>
      <c r="C94" s="3">
        <v>9.1999999999999993</v>
      </c>
      <c r="D94" s="3">
        <v>65.5</v>
      </c>
      <c r="E94" s="3">
        <v>12.5</v>
      </c>
      <c r="F94" s="3">
        <v>92.2</v>
      </c>
      <c r="G94" s="3">
        <v>6.3</v>
      </c>
      <c r="H94" s="3">
        <v>1169</v>
      </c>
      <c r="I94" s="3">
        <v>1078</v>
      </c>
    </row>
    <row r="95" spans="1:9" x14ac:dyDescent="0.25">
      <c r="A95" s="3" t="s">
        <v>14</v>
      </c>
      <c r="B95" s="3">
        <v>63.6</v>
      </c>
      <c r="C95" s="3">
        <v>9.1999999999999993</v>
      </c>
      <c r="D95" s="3">
        <v>65.5</v>
      </c>
      <c r="E95" s="3">
        <v>12.5</v>
      </c>
      <c r="F95" s="3">
        <v>92.2</v>
      </c>
      <c r="G95" s="3">
        <v>6.3</v>
      </c>
      <c r="H95" s="3">
        <v>1423</v>
      </c>
      <c r="I95" s="3">
        <v>1312</v>
      </c>
    </row>
    <row r="96" spans="1:9" x14ac:dyDescent="0.25">
      <c r="A96" s="3" t="s">
        <v>14</v>
      </c>
      <c r="B96" s="3">
        <v>63.6</v>
      </c>
      <c r="C96" s="3">
        <v>9.1999999999999993</v>
      </c>
      <c r="D96" s="3">
        <v>65.5</v>
      </c>
      <c r="E96" s="3">
        <v>12.5</v>
      </c>
      <c r="F96" s="3">
        <v>92.2</v>
      </c>
      <c r="G96" s="3">
        <v>6.3</v>
      </c>
      <c r="H96" s="3">
        <v>1346</v>
      </c>
      <c r="I96" s="3">
        <v>1241</v>
      </c>
    </row>
    <row r="97" spans="1:9" x14ac:dyDescent="0.25">
      <c r="A97" s="3" t="s">
        <v>14</v>
      </c>
      <c r="B97" s="3">
        <v>63.6</v>
      </c>
      <c r="C97" s="3">
        <v>9.1999999999999993</v>
      </c>
      <c r="D97" s="3">
        <v>65.5</v>
      </c>
      <c r="E97" s="3">
        <v>12.5</v>
      </c>
      <c r="F97" s="3">
        <v>92.2</v>
      </c>
      <c r="G97" s="3">
        <v>6.3</v>
      </c>
      <c r="H97" s="3">
        <v>1355</v>
      </c>
      <c r="I97" s="3">
        <v>1249</v>
      </c>
    </row>
    <row r="98" spans="1:9" x14ac:dyDescent="0.25">
      <c r="A98" s="3" t="s">
        <v>14</v>
      </c>
      <c r="B98" s="3">
        <v>63.6</v>
      </c>
      <c r="C98" s="3">
        <v>9.1999999999999993</v>
      </c>
      <c r="D98" s="3">
        <v>65.5</v>
      </c>
      <c r="E98" s="3">
        <v>12.5</v>
      </c>
      <c r="F98" s="3">
        <v>92.2</v>
      </c>
      <c r="G98" s="3">
        <v>6.3</v>
      </c>
      <c r="H98" s="3">
        <v>1262</v>
      </c>
      <c r="I98" s="3">
        <v>1163</v>
      </c>
    </row>
    <row r="99" spans="1:9" x14ac:dyDescent="0.25">
      <c r="A99" s="3" t="s">
        <v>15</v>
      </c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3" t="s">
        <v>15</v>
      </c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3" t="s">
        <v>15</v>
      </c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3" t="s">
        <v>15</v>
      </c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3" t="s">
        <v>15</v>
      </c>
      <c r="B103" s="3">
        <v>69.599999999999994</v>
      </c>
      <c r="C103" s="3">
        <v>10.3</v>
      </c>
      <c r="D103" s="3">
        <v>70.8</v>
      </c>
      <c r="E103" s="3">
        <v>14.4</v>
      </c>
      <c r="F103" s="3">
        <v>91.9</v>
      </c>
      <c r="G103" s="3">
        <v>6.4</v>
      </c>
      <c r="H103" s="3">
        <v>2296</v>
      </c>
      <c r="I103" s="3">
        <v>2110</v>
      </c>
    </row>
    <row r="104" spans="1:9" x14ac:dyDescent="0.25">
      <c r="A104" s="3" t="s">
        <v>15</v>
      </c>
      <c r="B104" s="3">
        <v>69.599999999999994</v>
      </c>
      <c r="C104" s="3">
        <v>10.3</v>
      </c>
      <c r="D104" s="3">
        <v>70.8</v>
      </c>
      <c r="E104" s="3">
        <v>14.4</v>
      </c>
      <c r="F104" s="3">
        <v>91.9</v>
      </c>
      <c r="G104" s="3">
        <v>6.4</v>
      </c>
      <c r="H104" s="3">
        <v>2028</v>
      </c>
      <c r="I104" s="3">
        <v>1863</v>
      </c>
    </row>
    <row r="105" spans="1:9" x14ac:dyDescent="0.25">
      <c r="A105" s="3" t="s">
        <v>15</v>
      </c>
      <c r="B105" s="3">
        <v>69.599999999999994</v>
      </c>
      <c r="C105" s="3">
        <v>10.3</v>
      </c>
      <c r="D105" s="3">
        <v>70.8</v>
      </c>
      <c r="E105" s="3">
        <v>14.4</v>
      </c>
      <c r="F105" s="3">
        <v>91.9</v>
      </c>
      <c r="G105" s="3">
        <v>6.4</v>
      </c>
      <c r="H105" s="3">
        <v>2108</v>
      </c>
      <c r="I105" s="3">
        <v>1937</v>
      </c>
    </row>
    <row r="106" spans="1:9" x14ac:dyDescent="0.25">
      <c r="A106" s="3" t="s">
        <v>15</v>
      </c>
      <c r="B106" s="3">
        <v>69.599999999999994</v>
      </c>
      <c r="C106" s="3">
        <v>10.3</v>
      </c>
      <c r="D106" s="3">
        <v>70.8</v>
      </c>
      <c r="E106" s="3">
        <v>14.4</v>
      </c>
      <c r="F106" s="3">
        <v>91.9</v>
      </c>
      <c r="G106" s="3">
        <v>6.4</v>
      </c>
      <c r="H106" s="3">
        <v>2395</v>
      </c>
      <c r="I106" s="3">
        <v>2201</v>
      </c>
    </row>
    <row r="107" spans="1:9" x14ac:dyDescent="0.25">
      <c r="A107" s="3" t="s">
        <v>15</v>
      </c>
      <c r="B107" s="3">
        <v>69.599999999999994</v>
      </c>
      <c r="C107" s="3">
        <v>10.3</v>
      </c>
      <c r="D107" s="3">
        <v>70.8</v>
      </c>
      <c r="E107" s="3">
        <v>14.4</v>
      </c>
      <c r="F107" s="3">
        <v>91.9</v>
      </c>
      <c r="G107" s="3">
        <v>6.4</v>
      </c>
      <c r="H107" s="3">
        <v>2156</v>
      </c>
      <c r="I107" s="3">
        <v>1981</v>
      </c>
    </row>
    <row r="108" spans="1:9" x14ac:dyDescent="0.25">
      <c r="A108" s="3" t="s">
        <v>15</v>
      </c>
      <c r="B108" s="3">
        <v>69.599999999999994</v>
      </c>
      <c r="C108" s="3">
        <v>10.3</v>
      </c>
      <c r="D108" s="3">
        <v>70.8</v>
      </c>
      <c r="E108" s="3">
        <v>14.4</v>
      </c>
      <c r="F108" s="3">
        <v>91.9</v>
      </c>
      <c r="G108" s="3">
        <v>6.4</v>
      </c>
      <c r="H108" s="3">
        <v>2018</v>
      </c>
      <c r="I108" s="3">
        <v>1854</v>
      </c>
    </row>
    <row r="109" spans="1:9" x14ac:dyDescent="0.25">
      <c r="A109" s="3" t="s">
        <v>15</v>
      </c>
      <c r="B109" s="3">
        <v>69.599999999999994</v>
      </c>
      <c r="C109" s="3">
        <v>10.3</v>
      </c>
      <c r="D109" s="3">
        <v>70.8</v>
      </c>
      <c r="E109" s="3">
        <v>14.4</v>
      </c>
      <c r="F109" s="3">
        <v>91.9</v>
      </c>
      <c r="G109" s="3">
        <v>6.4</v>
      </c>
      <c r="H109" s="3">
        <v>1752</v>
      </c>
      <c r="I109" s="3">
        <v>1610</v>
      </c>
    </row>
    <row r="110" spans="1:9" x14ac:dyDescent="0.25">
      <c r="A110" s="3" t="s">
        <v>15</v>
      </c>
      <c r="B110" s="3">
        <v>69.599999999999994</v>
      </c>
      <c r="C110" s="3">
        <v>10.3</v>
      </c>
      <c r="D110" s="3">
        <v>70.8</v>
      </c>
      <c r="E110" s="3">
        <v>14.4</v>
      </c>
      <c r="F110" s="3">
        <v>91.9</v>
      </c>
      <c r="G110" s="3">
        <v>6.4</v>
      </c>
      <c r="H110" s="3">
        <v>2079</v>
      </c>
      <c r="I110" s="3">
        <v>1911</v>
      </c>
    </row>
    <row r="111" spans="1:9" x14ac:dyDescent="0.25">
      <c r="A111" s="3" t="s">
        <v>15</v>
      </c>
      <c r="B111" s="3">
        <v>69.599999999999994</v>
      </c>
      <c r="C111" s="3">
        <v>10.3</v>
      </c>
      <c r="D111" s="3">
        <v>70.8</v>
      </c>
      <c r="E111" s="3">
        <v>14.4</v>
      </c>
      <c r="F111" s="3">
        <v>91.9</v>
      </c>
      <c r="G111" s="3">
        <v>6.4</v>
      </c>
      <c r="H111" s="3">
        <v>1894</v>
      </c>
      <c r="I111" s="3">
        <v>1740</v>
      </c>
    </row>
    <row r="112" spans="1:9" x14ac:dyDescent="0.25">
      <c r="A112" s="3" t="s">
        <v>15</v>
      </c>
      <c r="B112" s="3">
        <v>69.599999999999994</v>
      </c>
      <c r="C112" s="3">
        <v>10.3</v>
      </c>
      <c r="D112" s="3">
        <v>70.8</v>
      </c>
      <c r="E112" s="3">
        <v>14.4</v>
      </c>
      <c r="F112" s="3">
        <v>91.9</v>
      </c>
      <c r="G112" s="3">
        <v>6.4</v>
      </c>
      <c r="H112" s="3">
        <v>2045</v>
      </c>
      <c r="I112" s="3">
        <v>1880</v>
      </c>
    </row>
    <row r="113" spans="1:9" x14ac:dyDescent="0.25">
      <c r="A113" s="3" t="s">
        <v>15</v>
      </c>
      <c r="B113" s="3">
        <v>69.599999999999994</v>
      </c>
      <c r="C113" s="3">
        <v>10.3</v>
      </c>
      <c r="D113" s="3">
        <v>70.8</v>
      </c>
      <c r="E113" s="3">
        <v>14.4</v>
      </c>
      <c r="F113" s="3">
        <v>91.9</v>
      </c>
      <c r="G113" s="3">
        <v>6.4</v>
      </c>
      <c r="H113" s="3">
        <v>2203</v>
      </c>
      <c r="I113" s="3">
        <v>2024</v>
      </c>
    </row>
    <row r="114" spans="1:9" x14ac:dyDescent="0.25">
      <c r="A114" s="3" t="s">
        <v>15</v>
      </c>
      <c r="B114" s="3">
        <v>69.599999999999994</v>
      </c>
      <c r="C114" s="3">
        <v>10.3</v>
      </c>
      <c r="D114" s="3">
        <v>70.8</v>
      </c>
      <c r="E114" s="3">
        <v>14.4</v>
      </c>
      <c r="F114" s="3">
        <v>91.9</v>
      </c>
      <c r="G114" s="3">
        <v>6.4</v>
      </c>
      <c r="H114" s="3">
        <v>2023</v>
      </c>
      <c r="I114" s="3">
        <v>1859</v>
      </c>
    </row>
    <row r="115" spans="1:9" x14ac:dyDescent="0.25">
      <c r="A115" s="3" t="s">
        <v>15</v>
      </c>
      <c r="B115" s="3">
        <v>69.599999999999994</v>
      </c>
      <c r="C115" s="3">
        <v>10.3</v>
      </c>
      <c r="D115" s="3">
        <v>70.8</v>
      </c>
      <c r="E115" s="3">
        <v>14.4</v>
      </c>
      <c r="F115" s="3">
        <v>91.9</v>
      </c>
      <c r="G115" s="3">
        <v>6.4</v>
      </c>
      <c r="H115" s="3">
        <v>2035</v>
      </c>
      <c r="I115" s="3">
        <v>1870</v>
      </c>
    </row>
    <row r="116" spans="1:9" x14ac:dyDescent="0.25">
      <c r="A116" s="3" t="s">
        <v>15</v>
      </c>
      <c r="B116" s="3">
        <v>69.599999999999994</v>
      </c>
      <c r="C116" s="3">
        <v>10.3</v>
      </c>
      <c r="D116" s="3">
        <v>70.8</v>
      </c>
      <c r="E116" s="3">
        <v>14.4</v>
      </c>
      <c r="F116" s="3">
        <v>91.9</v>
      </c>
      <c r="G116" s="3">
        <v>6.4</v>
      </c>
      <c r="H116" s="3">
        <v>2022</v>
      </c>
      <c r="I116" s="3">
        <v>1858</v>
      </c>
    </row>
    <row r="117" spans="1:9" x14ac:dyDescent="0.25">
      <c r="A117" s="3" t="s">
        <v>15</v>
      </c>
      <c r="B117" s="3">
        <v>69.599999999999994</v>
      </c>
      <c r="C117" s="3">
        <v>10.3</v>
      </c>
      <c r="D117" s="3">
        <v>70.8</v>
      </c>
      <c r="E117" s="3">
        <v>14.4</v>
      </c>
      <c r="F117" s="3">
        <v>91.9</v>
      </c>
      <c r="G117" s="3">
        <v>6.4</v>
      </c>
      <c r="H117" s="3">
        <v>1975</v>
      </c>
      <c r="I117" s="3">
        <v>1815</v>
      </c>
    </row>
    <row r="118" spans="1:9" x14ac:dyDescent="0.25">
      <c r="A118" s="3" t="s">
        <v>15</v>
      </c>
      <c r="B118" s="3">
        <v>69.599999999999994</v>
      </c>
      <c r="C118" s="3">
        <v>10.3</v>
      </c>
      <c r="D118" s="3">
        <v>70.8</v>
      </c>
      <c r="E118" s="3">
        <v>14.4</v>
      </c>
      <c r="F118" s="3">
        <v>91.9</v>
      </c>
      <c r="G118" s="3">
        <v>6.4</v>
      </c>
      <c r="H118" s="3">
        <v>1750</v>
      </c>
      <c r="I118" s="3">
        <v>1608</v>
      </c>
    </row>
    <row r="119" spans="1:9" x14ac:dyDescent="0.25">
      <c r="A119" s="3" t="s">
        <v>15</v>
      </c>
      <c r="B119" s="3">
        <v>69.599999999999994</v>
      </c>
      <c r="C119" s="3">
        <v>10.3</v>
      </c>
      <c r="D119" s="3">
        <v>70.8</v>
      </c>
      <c r="E119" s="3">
        <v>14.4</v>
      </c>
      <c r="F119" s="3">
        <v>91.9</v>
      </c>
      <c r="G119" s="3">
        <v>6.4</v>
      </c>
      <c r="H119" s="3">
        <v>1955</v>
      </c>
      <c r="I119" s="3">
        <v>1797</v>
      </c>
    </row>
    <row r="120" spans="1:9" x14ac:dyDescent="0.25">
      <c r="A120" s="3" t="s">
        <v>15</v>
      </c>
      <c r="B120" s="3">
        <v>69.599999999999994</v>
      </c>
      <c r="C120" s="3">
        <v>10.3</v>
      </c>
      <c r="D120" s="3">
        <v>70.8</v>
      </c>
      <c r="E120" s="3">
        <v>14.4</v>
      </c>
      <c r="F120" s="3">
        <v>91.9</v>
      </c>
      <c r="G120" s="3">
        <v>6.4</v>
      </c>
      <c r="H120" s="3">
        <v>1677</v>
      </c>
      <c r="I120" s="3">
        <v>1541</v>
      </c>
    </row>
    <row r="121" spans="1:9" x14ac:dyDescent="0.25">
      <c r="A121" s="3" t="s">
        <v>15</v>
      </c>
      <c r="B121" s="3">
        <v>69.599999999999994</v>
      </c>
      <c r="C121" s="3">
        <v>10.3</v>
      </c>
      <c r="D121" s="3">
        <v>70.8</v>
      </c>
      <c r="E121" s="3">
        <v>14.4</v>
      </c>
      <c r="F121" s="3">
        <v>91.9</v>
      </c>
      <c r="G121" s="3">
        <v>6.4</v>
      </c>
      <c r="H121" s="3">
        <v>1718</v>
      </c>
      <c r="I121" s="3">
        <v>1579</v>
      </c>
    </row>
    <row r="122" spans="1:9" x14ac:dyDescent="0.25">
      <c r="A122" s="3" t="s">
        <v>15</v>
      </c>
      <c r="B122" s="3">
        <v>69.599999999999994</v>
      </c>
      <c r="C122" s="3">
        <v>10.3</v>
      </c>
      <c r="D122" s="3">
        <v>70.8</v>
      </c>
      <c r="E122" s="3">
        <v>14.4</v>
      </c>
      <c r="F122" s="3">
        <v>91.9</v>
      </c>
      <c r="G122" s="3">
        <v>6.4</v>
      </c>
      <c r="H122" s="3">
        <v>1668</v>
      </c>
      <c r="I122" s="3">
        <v>1533</v>
      </c>
    </row>
    <row r="123" spans="1:9" x14ac:dyDescent="0.25">
      <c r="A123" s="3" t="s">
        <v>15</v>
      </c>
      <c r="B123" s="3">
        <v>69.599999999999994</v>
      </c>
      <c r="C123" s="3">
        <v>10.3</v>
      </c>
      <c r="D123" s="3">
        <v>70.8</v>
      </c>
      <c r="E123" s="3">
        <v>14.4</v>
      </c>
      <c r="F123" s="3">
        <v>91.9</v>
      </c>
      <c r="G123" s="3">
        <v>6.4</v>
      </c>
      <c r="H123" s="3">
        <v>1538</v>
      </c>
      <c r="I123" s="3">
        <v>1413</v>
      </c>
    </row>
    <row r="124" spans="1:9" x14ac:dyDescent="0.25">
      <c r="A124" s="3" t="s">
        <v>15</v>
      </c>
      <c r="B124" s="3">
        <v>69.599999999999994</v>
      </c>
      <c r="C124" s="3">
        <v>10.3</v>
      </c>
      <c r="D124" s="3">
        <v>70.8</v>
      </c>
      <c r="E124" s="3">
        <v>14.4</v>
      </c>
      <c r="F124" s="3">
        <v>91.9</v>
      </c>
      <c r="G124" s="3">
        <v>6.4</v>
      </c>
      <c r="H124" s="3">
        <v>1616</v>
      </c>
      <c r="I124" s="3">
        <v>1485</v>
      </c>
    </row>
    <row r="125" spans="1:9" x14ac:dyDescent="0.25">
      <c r="A125" s="3" t="s">
        <v>15</v>
      </c>
      <c r="B125" s="3">
        <v>69.599999999999994</v>
      </c>
      <c r="C125" s="3">
        <v>10.3</v>
      </c>
      <c r="D125" s="3">
        <v>70.8</v>
      </c>
      <c r="E125" s="3">
        <v>14.4</v>
      </c>
      <c r="F125" s="3">
        <v>91.9</v>
      </c>
      <c r="G125" s="3">
        <v>6.4</v>
      </c>
      <c r="H125" s="3">
        <v>1642</v>
      </c>
      <c r="I125" s="3">
        <v>1509</v>
      </c>
    </row>
    <row r="126" spans="1:9" x14ac:dyDescent="0.25">
      <c r="A126" s="3" t="s">
        <v>15</v>
      </c>
      <c r="B126" s="3">
        <v>69.599999999999994</v>
      </c>
      <c r="C126" s="3">
        <v>10.3</v>
      </c>
      <c r="D126" s="3">
        <v>70.8</v>
      </c>
      <c r="E126" s="3">
        <v>14.4</v>
      </c>
      <c r="F126" s="3">
        <v>91.9</v>
      </c>
      <c r="G126" s="3">
        <v>6.4</v>
      </c>
      <c r="H126" s="3">
        <v>1675</v>
      </c>
      <c r="I126" s="3">
        <v>1540</v>
      </c>
    </row>
    <row r="127" spans="1:9" x14ac:dyDescent="0.25">
      <c r="A127" s="3" t="s">
        <v>15</v>
      </c>
      <c r="B127" s="3">
        <v>69.599999999999994</v>
      </c>
      <c r="C127" s="3">
        <v>10.3</v>
      </c>
      <c r="D127" s="3">
        <v>70.8</v>
      </c>
      <c r="E127" s="3">
        <v>14.4</v>
      </c>
      <c r="F127" s="3">
        <v>91.9</v>
      </c>
      <c r="G127" s="3">
        <v>6.4</v>
      </c>
      <c r="H127" s="3">
        <v>1935</v>
      </c>
      <c r="I127" s="3">
        <v>1778</v>
      </c>
    </row>
    <row r="128" spans="1:9" x14ac:dyDescent="0.25">
      <c r="A128" s="3" t="s">
        <v>15</v>
      </c>
      <c r="B128" s="3">
        <v>69.599999999999994</v>
      </c>
      <c r="C128" s="3">
        <v>10.3</v>
      </c>
      <c r="D128" s="3">
        <v>70.8</v>
      </c>
      <c r="E128" s="3">
        <v>14.4</v>
      </c>
      <c r="F128" s="3">
        <v>91.9</v>
      </c>
      <c r="G128" s="3">
        <v>6.4</v>
      </c>
      <c r="H128" s="3">
        <v>1797</v>
      </c>
      <c r="I128" s="3">
        <v>1651</v>
      </c>
    </row>
    <row r="129" spans="1:9" x14ac:dyDescent="0.25">
      <c r="A129" s="3" t="s">
        <v>15</v>
      </c>
      <c r="B129" s="3">
        <v>69.599999999999994</v>
      </c>
      <c r="C129" s="3">
        <v>10.3</v>
      </c>
      <c r="D129" s="3">
        <v>70.8</v>
      </c>
      <c r="E129" s="3">
        <v>14.4</v>
      </c>
      <c r="F129" s="3">
        <v>91.9</v>
      </c>
      <c r="G129" s="3">
        <v>6.4</v>
      </c>
      <c r="H129" s="3">
        <v>1906</v>
      </c>
      <c r="I129" s="3">
        <v>1751</v>
      </c>
    </row>
    <row r="130" spans="1:9" x14ac:dyDescent="0.25">
      <c r="A130" s="3" t="s">
        <v>15</v>
      </c>
      <c r="B130" s="3">
        <v>69.599999999999994</v>
      </c>
      <c r="C130" s="3">
        <v>10.3</v>
      </c>
      <c r="D130" s="3">
        <v>70.8</v>
      </c>
      <c r="E130" s="3">
        <v>14.4</v>
      </c>
      <c r="F130" s="3">
        <v>91.9</v>
      </c>
      <c r="G130" s="3">
        <v>6.4</v>
      </c>
      <c r="H130" s="3">
        <v>2167</v>
      </c>
      <c r="I130" s="3">
        <v>1991</v>
      </c>
    </row>
    <row r="131" spans="1:9" x14ac:dyDescent="0.25">
      <c r="A131" s="3" t="s">
        <v>15</v>
      </c>
      <c r="B131" s="3">
        <v>69.599999999999994</v>
      </c>
      <c r="C131" s="3">
        <v>10.3</v>
      </c>
      <c r="D131" s="3">
        <v>70.8</v>
      </c>
      <c r="E131" s="3">
        <v>14.4</v>
      </c>
      <c r="F131" s="3">
        <v>91.9</v>
      </c>
      <c r="G131" s="3">
        <v>6.4</v>
      </c>
      <c r="H131" s="3">
        <v>1839</v>
      </c>
      <c r="I131" s="3">
        <v>1690</v>
      </c>
    </row>
    <row r="132" spans="1:9" x14ac:dyDescent="0.25">
      <c r="A132" s="3" t="s">
        <v>15</v>
      </c>
      <c r="B132" s="3">
        <v>69.599999999999994</v>
      </c>
      <c r="C132" s="3">
        <v>10.3</v>
      </c>
      <c r="D132" s="3">
        <v>70.8</v>
      </c>
      <c r="E132" s="3">
        <v>14.4</v>
      </c>
      <c r="F132" s="3">
        <v>91.9</v>
      </c>
      <c r="G132" s="3">
        <v>6.4</v>
      </c>
      <c r="H132" s="3">
        <v>2314</v>
      </c>
      <c r="I132" s="3">
        <v>2127</v>
      </c>
    </row>
    <row r="133" spans="1:9" x14ac:dyDescent="0.25">
      <c r="A133" s="3" t="s">
        <v>15</v>
      </c>
      <c r="B133" s="3">
        <v>69.599999999999994</v>
      </c>
      <c r="C133" s="3">
        <v>10.3</v>
      </c>
      <c r="D133" s="3">
        <v>70.8</v>
      </c>
      <c r="E133" s="3">
        <v>14.4</v>
      </c>
      <c r="F133" s="3">
        <v>91.9</v>
      </c>
      <c r="G133" s="3">
        <v>6.4</v>
      </c>
      <c r="H133" s="3">
        <v>1859</v>
      </c>
      <c r="I133" s="3">
        <v>1708</v>
      </c>
    </row>
    <row r="134" spans="1:9" x14ac:dyDescent="0.25">
      <c r="A134" s="3" t="s">
        <v>15</v>
      </c>
      <c r="B134" s="3">
        <v>69.599999999999994</v>
      </c>
      <c r="C134" s="3">
        <v>10.3</v>
      </c>
      <c r="D134" s="3">
        <v>70.8</v>
      </c>
      <c r="E134" s="3">
        <v>14.4</v>
      </c>
      <c r="F134" s="3">
        <v>91.9</v>
      </c>
      <c r="G134" s="3">
        <v>6.4</v>
      </c>
      <c r="H134" s="3">
        <v>1796</v>
      </c>
      <c r="I134" s="3">
        <v>1650</v>
      </c>
    </row>
    <row r="135" spans="1:9" x14ac:dyDescent="0.25">
      <c r="A135" s="3" t="s">
        <v>15</v>
      </c>
      <c r="B135" s="3">
        <v>69.599999999999994</v>
      </c>
      <c r="C135" s="3">
        <v>10.3</v>
      </c>
      <c r="D135" s="3">
        <v>70.8</v>
      </c>
      <c r="E135" s="3">
        <v>14.4</v>
      </c>
      <c r="F135" s="3">
        <v>91.9</v>
      </c>
      <c r="G135" s="3">
        <v>6.4</v>
      </c>
      <c r="H135" s="3">
        <v>1894</v>
      </c>
      <c r="I135" s="3">
        <v>1741</v>
      </c>
    </row>
    <row r="136" spans="1:9" x14ac:dyDescent="0.25">
      <c r="A136" s="3" t="s">
        <v>15</v>
      </c>
      <c r="B136" s="3">
        <v>69.599999999999994</v>
      </c>
      <c r="C136" s="3">
        <v>10.3</v>
      </c>
      <c r="D136" s="3">
        <v>70.8</v>
      </c>
      <c r="E136" s="3">
        <v>14.4</v>
      </c>
      <c r="F136" s="3">
        <v>91.9</v>
      </c>
      <c r="G136" s="3">
        <v>6.4</v>
      </c>
      <c r="H136" s="3">
        <v>2066</v>
      </c>
      <c r="I136" s="3">
        <v>1898</v>
      </c>
    </row>
    <row r="137" spans="1:9" x14ac:dyDescent="0.25">
      <c r="A137" s="3" t="s">
        <v>15</v>
      </c>
      <c r="B137" s="3">
        <v>69.599999999999994</v>
      </c>
      <c r="C137" s="3">
        <v>10.3</v>
      </c>
      <c r="D137" s="3">
        <v>70.8</v>
      </c>
      <c r="E137" s="3">
        <v>14.4</v>
      </c>
      <c r="F137" s="3">
        <v>91.9</v>
      </c>
      <c r="G137" s="3">
        <v>6.4</v>
      </c>
      <c r="H137" s="3">
        <v>1844</v>
      </c>
      <c r="I137" s="3">
        <v>1694</v>
      </c>
    </row>
    <row r="138" spans="1:9" x14ac:dyDescent="0.25">
      <c r="A138" s="3" t="s">
        <v>15</v>
      </c>
      <c r="B138" s="3">
        <v>69.599999999999994</v>
      </c>
      <c r="C138" s="3">
        <v>10.3</v>
      </c>
      <c r="D138" s="3">
        <v>70.8</v>
      </c>
      <c r="E138" s="3">
        <v>14.4</v>
      </c>
      <c r="F138" s="3">
        <v>91.9</v>
      </c>
      <c r="G138" s="3">
        <v>6.4</v>
      </c>
      <c r="H138" s="3">
        <v>1884</v>
      </c>
      <c r="I138" s="3">
        <v>1732</v>
      </c>
    </row>
    <row r="139" spans="1:9" x14ac:dyDescent="0.25">
      <c r="A139" s="3" t="s">
        <v>15</v>
      </c>
      <c r="B139" s="3">
        <v>69.599999999999994</v>
      </c>
      <c r="C139" s="3">
        <v>10.3</v>
      </c>
      <c r="D139" s="3">
        <v>70.8</v>
      </c>
      <c r="E139" s="3">
        <v>14.4</v>
      </c>
      <c r="F139" s="3">
        <v>91.9</v>
      </c>
      <c r="G139" s="3">
        <v>6.4</v>
      </c>
      <c r="H139" s="3">
        <v>1792</v>
      </c>
      <c r="I139" s="3">
        <v>1647</v>
      </c>
    </row>
    <row r="140" spans="1:9" x14ac:dyDescent="0.25">
      <c r="A140" s="3" t="s">
        <v>15</v>
      </c>
      <c r="B140" s="3">
        <v>69.599999999999994</v>
      </c>
      <c r="C140" s="3">
        <v>10.3</v>
      </c>
      <c r="D140" s="3">
        <v>70.8</v>
      </c>
      <c r="E140" s="3">
        <v>14.4</v>
      </c>
      <c r="F140" s="3">
        <v>91.9</v>
      </c>
      <c r="G140" s="3">
        <v>6.4</v>
      </c>
      <c r="H140" s="3">
        <v>1897</v>
      </c>
      <c r="I140" s="3">
        <v>1744</v>
      </c>
    </row>
    <row r="141" spans="1:9" x14ac:dyDescent="0.25">
      <c r="A141" s="3" t="s">
        <v>15</v>
      </c>
      <c r="B141" s="3">
        <v>69.599999999999994</v>
      </c>
      <c r="C141" s="3">
        <v>10.3</v>
      </c>
      <c r="D141" s="3">
        <v>70.8</v>
      </c>
      <c r="E141" s="3">
        <v>14.4</v>
      </c>
      <c r="F141" s="3">
        <v>91.9</v>
      </c>
      <c r="G141" s="3">
        <v>6.4</v>
      </c>
      <c r="H141" s="3">
        <v>1980</v>
      </c>
      <c r="I141" s="3">
        <v>1820</v>
      </c>
    </row>
    <row r="142" spans="1:9" x14ac:dyDescent="0.25">
      <c r="A142" s="3" t="s">
        <v>15</v>
      </c>
      <c r="B142" s="3">
        <v>69.599999999999994</v>
      </c>
      <c r="C142" s="3">
        <v>10.3</v>
      </c>
      <c r="D142" s="3">
        <v>70.8</v>
      </c>
      <c r="E142" s="3">
        <v>14.4</v>
      </c>
      <c r="F142" s="3">
        <v>91.9</v>
      </c>
      <c r="G142" s="3">
        <v>6.4</v>
      </c>
      <c r="H142" s="3">
        <v>1181</v>
      </c>
      <c r="I142" s="3">
        <v>1085</v>
      </c>
    </row>
    <row r="143" spans="1:9" x14ac:dyDescent="0.25">
      <c r="A143" s="3" t="s">
        <v>15</v>
      </c>
      <c r="B143" s="3">
        <v>69.599999999999994</v>
      </c>
      <c r="C143" s="3">
        <v>10.3</v>
      </c>
      <c r="D143" s="3">
        <v>70.8</v>
      </c>
      <c r="E143" s="3">
        <v>14.4</v>
      </c>
      <c r="F143" s="3">
        <v>91.9</v>
      </c>
      <c r="G143" s="3">
        <v>6.4</v>
      </c>
      <c r="H143" s="3">
        <v>1589</v>
      </c>
      <c r="I143" s="3">
        <v>1460</v>
      </c>
    </row>
    <row r="144" spans="1:9" x14ac:dyDescent="0.25">
      <c r="A144" s="3" t="s">
        <v>15</v>
      </c>
      <c r="B144" s="3">
        <v>69.599999999999994</v>
      </c>
      <c r="C144" s="3">
        <v>10.3</v>
      </c>
      <c r="D144" s="3">
        <v>70.8</v>
      </c>
      <c r="E144" s="3">
        <v>14.4</v>
      </c>
      <c r="F144" s="3">
        <v>91.9</v>
      </c>
      <c r="G144" s="3">
        <v>6.4</v>
      </c>
      <c r="H144" s="3">
        <v>1215</v>
      </c>
      <c r="I144" s="3">
        <v>1116</v>
      </c>
    </row>
    <row r="145" spans="1:9" x14ac:dyDescent="0.25">
      <c r="A145" s="3" t="s">
        <v>15</v>
      </c>
      <c r="B145" s="3">
        <v>69.599999999999994</v>
      </c>
      <c r="C145" s="3">
        <v>10.3</v>
      </c>
      <c r="D145" s="3">
        <v>70.8</v>
      </c>
      <c r="E145" s="3">
        <v>14.4</v>
      </c>
      <c r="F145" s="3">
        <v>91.9</v>
      </c>
      <c r="G145" s="3">
        <v>6.4</v>
      </c>
      <c r="H145" s="3">
        <v>1261</v>
      </c>
      <c r="I145" s="3">
        <v>1159</v>
      </c>
    </row>
    <row r="146" spans="1:9" x14ac:dyDescent="0.25">
      <c r="A146" s="3" t="s">
        <v>15</v>
      </c>
      <c r="B146" s="3">
        <v>69.599999999999994</v>
      </c>
      <c r="C146" s="3">
        <v>10.3</v>
      </c>
      <c r="D146" s="3">
        <v>70.8</v>
      </c>
      <c r="E146" s="3">
        <v>14.4</v>
      </c>
      <c r="F146" s="3">
        <v>91.9</v>
      </c>
      <c r="G146" s="3">
        <v>6.4</v>
      </c>
      <c r="H146" s="3">
        <v>1233</v>
      </c>
      <c r="I146" s="3">
        <v>1133</v>
      </c>
    </row>
    <row r="147" spans="1:9" x14ac:dyDescent="0.25">
      <c r="A147" s="3" t="s">
        <v>15</v>
      </c>
      <c r="B147" s="3">
        <v>69.599999999999994</v>
      </c>
      <c r="C147" s="3">
        <v>10.3</v>
      </c>
      <c r="D147" s="3">
        <v>70.8</v>
      </c>
      <c r="E147" s="3">
        <v>14.4</v>
      </c>
      <c r="F147" s="3">
        <v>91.9</v>
      </c>
      <c r="G147" s="3">
        <v>6.4</v>
      </c>
      <c r="H147" s="3">
        <v>1398</v>
      </c>
      <c r="I147" s="3">
        <v>1285</v>
      </c>
    </row>
    <row r="148" spans="1:9" x14ac:dyDescent="0.25">
      <c r="A148" s="3" t="s">
        <v>15</v>
      </c>
      <c r="B148" s="3">
        <v>69.599999999999994</v>
      </c>
      <c r="C148" s="3">
        <v>10.3</v>
      </c>
      <c r="D148" s="3">
        <v>70.8</v>
      </c>
      <c r="E148" s="3">
        <v>14.4</v>
      </c>
      <c r="F148" s="3">
        <v>91.9</v>
      </c>
      <c r="G148" s="3">
        <v>6.4</v>
      </c>
      <c r="H148" s="3">
        <v>1420</v>
      </c>
      <c r="I148" s="3">
        <v>1305</v>
      </c>
    </row>
    <row r="149" spans="1:9" x14ac:dyDescent="0.25">
      <c r="A149" s="3" t="s">
        <v>15</v>
      </c>
      <c r="B149" s="3">
        <v>69.599999999999994</v>
      </c>
      <c r="C149" s="3">
        <v>10.3</v>
      </c>
      <c r="D149" s="3">
        <v>70.8</v>
      </c>
      <c r="E149" s="3">
        <v>14.4</v>
      </c>
      <c r="F149" s="3">
        <v>91.9</v>
      </c>
      <c r="G149" s="3">
        <v>6.4</v>
      </c>
      <c r="H149" s="3">
        <v>1519</v>
      </c>
      <c r="I149" s="3">
        <v>1396</v>
      </c>
    </row>
    <row r="150" spans="1:9" x14ac:dyDescent="0.25">
      <c r="A150" s="3" t="s">
        <v>16</v>
      </c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3" t="s">
        <v>16</v>
      </c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3" t="s">
        <v>16</v>
      </c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3" t="s">
        <v>16</v>
      </c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3" t="s">
        <v>16</v>
      </c>
      <c r="B154" s="3">
        <v>70.2</v>
      </c>
      <c r="C154" s="3">
        <v>10.4</v>
      </c>
      <c r="D154" s="3">
        <v>71.2</v>
      </c>
      <c r="E154" s="3">
        <v>13.3</v>
      </c>
      <c r="F154" s="3">
        <v>91.4</v>
      </c>
      <c r="G154" s="3">
        <v>7.4</v>
      </c>
      <c r="H154" s="3">
        <v>2408</v>
      </c>
      <c r="I154" s="3">
        <v>2201</v>
      </c>
    </row>
    <row r="155" spans="1:9" x14ac:dyDescent="0.25">
      <c r="A155" s="3" t="s">
        <v>16</v>
      </c>
      <c r="B155" s="3">
        <v>70.2</v>
      </c>
      <c r="C155" s="3">
        <v>10.4</v>
      </c>
      <c r="D155" s="3">
        <v>71.2</v>
      </c>
      <c r="E155" s="3">
        <v>13.3</v>
      </c>
      <c r="F155" s="3">
        <v>91.4</v>
      </c>
      <c r="G155" s="3">
        <v>7.4</v>
      </c>
      <c r="H155" s="3">
        <v>1699</v>
      </c>
      <c r="I155" s="3">
        <v>1553</v>
      </c>
    </row>
    <row r="156" spans="1:9" x14ac:dyDescent="0.25">
      <c r="A156" s="3" t="s">
        <v>16</v>
      </c>
      <c r="B156" s="3">
        <v>70.2</v>
      </c>
      <c r="C156" s="3">
        <v>10.4</v>
      </c>
      <c r="D156" s="3">
        <v>71.2</v>
      </c>
      <c r="E156" s="3">
        <v>13.3</v>
      </c>
      <c r="F156" s="3">
        <v>91.4</v>
      </c>
      <c r="G156" s="3">
        <v>7.4</v>
      </c>
      <c r="H156" s="3">
        <v>1910</v>
      </c>
      <c r="I156" s="3">
        <v>1746</v>
      </c>
    </row>
    <row r="157" spans="1:9" x14ac:dyDescent="0.25">
      <c r="A157" s="3" t="s">
        <v>16</v>
      </c>
      <c r="B157" s="3">
        <v>70.2</v>
      </c>
      <c r="C157" s="3">
        <v>10.4</v>
      </c>
      <c r="D157" s="3">
        <v>71.2</v>
      </c>
      <c r="E157" s="3">
        <v>13.3</v>
      </c>
      <c r="F157" s="3">
        <v>91.4</v>
      </c>
      <c r="G157" s="3">
        <v>7.4</v>
      </c>
      <c r="H157" s="3">
        <v>1835</v>
      </c>
      <c r="I157" s="3">
        <v>1677</v>
      </c>
    </row>
    <row r="158" spans="1:9" x14ac:dyDescent="0.25">
      <c r="A158" s="3" t="s">
        <v>16</v>
      </c>
      <c r="B158" s="3">
        <v>70.2</v>
      </c>
      <c r="C158" s="3">
        <v>10.4</v>
      </c>
      <c r="D158" s="3">
        <v>71.2</v>
      </c>
      <c r="E158" s="3">
        <v>13.3</v>
      </c>
      <c r="F158" s="3">
        <v>91.4</v>
      </c>
      <c r="G158" s="3">
        <v>7.4</v>
      </c>
      <c r="H158" s="3">
        <v>2156</v>
      </c>
      <c r="I158" s="3">
        <v>1971</v>
      </c>
    </row>
    <row r="159" spans="1:9" x14ac:dyDescent="0.25">
      <c r="A159" s="3" t="s">
        <v>16</v>
      </c>
      <c r="B159" s="3">
        <v>70.2</v>
      </c>
      <c r="C159" s="3">
        <v>10.4</v>
      </c>
      <c r="D159" s="3">
        <v>71.2</v>
      </c>
      <c r="E159" s="3">
        <v>13.3</v>
      </c>
      <c r="F159" s="3">
        <v>91.4</v>
      </c>
      <c r="G159" s="3">
        <v>7.4</v>
      </c>
      <c r="H159" s="3">
        <v>1580</v>
      </c>
      <c r="I159" s="3">
        <v>1444</v>
      </c>
    </row>
    <row r="160" spans="1:9" x14ac:dyDescent="0.25">
      <c r="A160" s="3" t="s">
        <v>16</v>
      </c>
      <c r="B160" s="3">
        <v>70.2</v>
      </c>
      <c r="C160" s="3">
        <v>10.4</v>
      </c>
      <c r="D160" s="3">
        <v>71.2</v>
      </c>
      <c r="E160" s="3">
        <v>13.3</v>
      </c>
      <c r="F160" s="3">
        <v>91.4</v>
      </c>
      <c r="G160" s="3">
        <v>7.4</v>
      </c>
      <c r="H160" s="3">
        <v>2062</v>
      </c>
      <c r="I160" s="3">
        <v>1884</v>
      </c>
    </row>
    <row r="161" spans="1:9" x14ac:dyDescent="0.25">
      <c r="A161" s="3" t="s">
        <v>16</v>
      </c>
      <c r="B161" s="3">
        <v>70.2</v>
      </c>
      <c r="C161" s="3">
        <v>10.4</v>
      </c>
      <c r="D161" s="3">
        <v>71.2</v>
      </c>
      <c r="E161" s="3">
        <v>13.3</v>
      </c>
      <c r="F161" s="3">
        <v>91.4</v>
      </c>
      <c r="G161" s="3">
        <v>7.4</v>
      </c>
      <c r="H161" s="3">
        <v>2014</v>
      </c>
      <c r="I161" s="3">
        <v>1840</v>
      </c>
    </row>
    <row r="162" spans="1:9" x14ac:dyDescent="0.25">
      <c r="A162" s="3" t="s">
        <v>16</v>
      </c>
      <c r="B162" s="3">
        <v>70.2</v>
      </c>
      <c r="C162" s="3">
        <v>10.4</v>
      </c>
      <c r="D162" s="3">
        <v>71.2</v>
      </c>
      <c r="E162" s="3">
        <v>13.3</v>
      </c>
      <c r="F162" s="3">
        <v>91.4</v>
      </c>
      <c r="G162" s="3">
        <v>7.4</v>
      </c>
      <c r="H162" s="3">
        <v>2047</v>
      </c>
      <c r="I162" s="3">
        <v>1871</v>
      </c>
    </row>
    <row r="163" spans="1:9" x14ac:dyDescent="0.25">
      <c r="A163" s="3" t="s">
        <v>16</v>
      </c>
      <c r="B163" s="3">
        <v>70.2</v>
      </c>
      <c r="C163" s="3">
        <v>10.4</v>
      </c>
      <c r="D163" s="3">
        <v>71.2</v>
      </c>
      <c r="E163" s="3">
        <v>13.3</v>
      </c>
      <c r="F163" s="3">
        <v>91.4</v>
      </c>
      <c r="G163" s="3">
        <v>7.4</v>
      </c>
      <c r="H163" s="3">
        <v>1878</v>
      </c>
      <c r="I163" s="3">
        <v>1716</v>
      </c>
    </row>
    <row r="164" spans="1:9" x14ac:dyDescent="0.25">
      <c r="A164" s="3" t="s">
        <v>16</v>
      </c>
      <c r="B164" s="3">
        <v>70.2</v>
      </c>
      <c r="C164" s="3">
        <v>10.4</v>
      </c>
      <c r="D164" s="3">
        <v>71.2</v>
      </c>
      <c r="E164" s="3">
        <v>13.3</v>
      </c>
      <c r="F164" s="3">
        <v>91.4</v>
      </c>
      <c r="G164" s="3">
        <v>7.4</v>
      </c>
      <c r="H164" s="3">
        <v>2017</v>
      </c>
      <c r="I164" s="3">
        <v>1844</v>
      </c>
    </row>
    <row r="165" spans="1:9" x14ac:dyDescent="0.25">
      <c r="A165" s="3" t="s">
        <v>16</v>
      </c>
      <c r="B165" s="3">
        <v>70.2</v>
      </c>
      <c r="C165" s="3">
        <v>10.4</v>
      </c>
      <c r="D165" s="3">
        <v>71.2</v>
      </c>
      <c r="E165" s="3">
        <v>13.3</v>
      </c>
      <c r="F165" s="3">
        <v>91.4</v>
      </c>
      <c r="G165" s="3">
        <v>7.4</v>
      </c>
      <c r="H165" s="3">
        <v>1791</v>
      </c>
      <c r="I165" s="3">
        <v>1637</v>
      </c>
    </row>
    <row r="166" spans="1:9" x14ac:dyDescent="0.25">
      <c r="A166" s="3" t="s">
        <v>16</v>
      </c>
      <c r="B166" s="3">
        <v>70.2</v>
      </c>
      <c r="C166" s="3">
        <v>10.4</v>
      </c>
      <c r="D166" s="3">
        <v>71.2</v>
      </c>
      <c r="E166" s="3">
        <v>13.3</v>
      </c>
      <c r="F166" s="3">
        <v>91.4</v>
      </c>
      <c r="G166" s="3">
        <v>7.4</v>
      </c>
      <c r="H166" s="3">
        <v>1895</v>
      </c>
      <c r="I166" s="3">
        <v>1732</v>
      </c>
    </row>
    <row r="167" spans="1:9" x14ac:dyDescent="0.25">
      <c r="A167" s="3" t="s">
        <v>16</v>
      </c>
      <c r="B167" s="3">
        <v>70.2</v>
      </c>
      <c r="C167" s="3">
        <v>10.4</v>
      </c>
      <c r="D167" s="3">
        <v>71.2</v>
      </c>
      <c r="E167" s="3">
        <v>13.3</v>
      </c>
      <c r="F167" s="3">
        <v>91.4</v>
      </c>
      <c r="G167" s="3">
        <v>7.4</v>
      </c>
      <c r="H167" s="3">
        <v>1906</v>
      </c>
      <c r="I167" s="3">
        <v>1742</v>
      </c>
    </row>
    <row r="168" spans="1:9" x14ac:dyDescent="0.25">
      <c r="A168" s="3" t="s">
        <v>16</v>
      </c>
      <c r="B168" s="3">
        <v>70.2</v>
      </c>
      <c r="C168" s="3">
        <v>10.4</v>
      </c>
      <c r="D168" s="3">
        <v>71.2</v>
      </c>
      <c r="E168" s="3">
        <v>13.3</v>
      </c>
      <c r="F168" s="3">
        <v>91.4</v>
      </c>
      <c r="G168" s="3">
        <v>7.4</v>
      </c>
      <c r="H168" s="3">
        <v>1950</v>
      </c>
      <c r="I168" s="3">
        <v>1782</v>
      </c>
    </row>
    <row r="169" spans="1:9" x14ac:dyDescent="0.25">
      <c r="A169" s="3" t="s">
        <v>16</v>
      </c>
      <c r="B169" s="3">
        <v>70.2</v>
      </c>
      <c r="C169" s="3">
        <v>10.4</v>
      </c>
      <c r="D169" s="3">
        <v>71.2</v>
      </c>
      <c r="E169" s="3">
        <v>13.3</v>
      </c>
      <c r="F169" s="3">
        <v>91.4</v>
      </c>
      <c r="G169" s="3">
        <v>7.4</v>
      </c>
      <c r="H169" s="3">
        <v>1333</v>
      </c>
      <c r="I169" s="3">
        <v>1218</v>
      </c>
    </row>
    <row r="170" spans="1:9" x14ac:dyDescent="0.25">
      <c r="A170" s="3" t="s">
        <v>16</v>
      </c>
      <c r="B170" s="3">
        <v>70.2</v>
      </c>
      <c r="C170" s="3">
        <v>10.4</v>
      </c>
      <c r="D170" s="3">
        <v>71.2</v>
      </c>
      <c r="E170" s="3">
        <v>13.3</v>
      </c>
      <c r="F170" s="3">
        <v>91.4</v>
      </c>
      <c r="G170" s="3">
        <v>7.4</v>
      </c>
      <c r="H170" s="3">
        <v>1799</v>
      </c>
      <c r="I170" s="3">
        <v>1644</v>
      </c>
    </row>
    <row r="171" spans="1:9" x14ac:dyDescent="0.25">
      <c r="A171" s="3" t="s">
        <v>16</v>
      </c>
      <c r="B171" s="3">
        <v>70.2</v>
      </c>
      <c r="C171" s="3">
        <v>10.4</v>
      </c>
      <c r="D171" s="3">
        <v>71.2</v>
      </c>
      <c r="E171" s="3">
        <v>13.3</v>
      </c>
      <c r="F171" s="3">
        <v>91.4</v>
      </c>
      <c r="G171" s="3">
        <v>7.4</v>
      </c>
      <c r="H171" s="3">
        <v>1808</v>
      </c>
      <c r="I171" s="3">
        <v>1653</v>
      </c>
    </row>
    <row r="172" spans="1:9" x14ac:dyDescent="0.25">
      <c r="A172" s="3" t="s">
        <v>16</v>
      </c>
      <c r="B172" s="3">
        <v>70.2</v>
      </c>
      <c r="C172" s="3">
        <v>10.4</v>
      </c>
      <c r="D172" s="3">
        <v>71.2</v>
      </c>
      <c r="E172" s="3">
        <v>13.3</v>
      </c>
      <c r="F172" s="3">
        <v>91.4</v>
      </c>
      <c r="G172" s="3">
        <v>7.4</v>
      </c>
      <c r="H172" s="3">
        <v>1647</v>
      </c>
      <c r="I172" s="3">
        <v>1506</v>
      </c>
    </row>
    <row r="173" spans="1:9" x14ac:dyDescent="0.25">
      <c r="A173" s="3" t="s">
        <v>16</v>
      </c>
      <c r="B173" s="3">
        <v>70.2</v>
      </c>
      <c r="C173" s="3">
        <v>10.4</v>
      </c>
      <c r="D173" s="3">
        <v>71.2</v>
      </c>
      <c r="E173" s="3">
        <v>13.3</v>
      </c>
      <c r="F173" s="3">
        <v>91.4</v>
      </c>
      <c r="G173" s="3">
        <v>7.4</v>
      </c>
      <c r="H173" s="3">
        <v>1523</v>
      </c>
      <c r="I173" s="3">
        <v>1392</v>
      </c>
    </row>
    <row r="174" spans="1:9" x14ac:dyDescent="0.25">
      <c r="A174" s="3" t="s">
        <v>16</v>
      </c>
      <c r="B174" s="3">
        <v>70.2</v>
      </c>
      <c r="C174" s="3">
        <v>10.4</v>
      </c>
      <c r="D174" s="3">
        <v>71.2</v>
      </c>
      <c r="E174" s="3">
        <v>13.3</v>
      </c>
      <c r="F174" s="3">
        <v>91.4</v>
      </c>
      <c r="G174" s="3">
        <v>7.4</v>
      </c>
      <c r="H174" s="3">
        <v>1799</v>
      </c>
      <c r="I174" s="3">
        <v>1644</v>
      </c>
    </row>
    <row r="175" spans="1:9" x14ac:dyDescent="0.25">
      <c r="A175" s="3" t="s">
        <v>16</v>
      </c>
      <c r="B175" s="3">
        <v>70.2</v>
      </c>
      <c r="C175" s="3">
        <v>10.4</v>
      </c>
      <c r="D175" s="3">
        <v>71.2</v>
      </c>
      <c r="E175" s="3">
        <v>13.3</v>
      </c>
      <c r="F175" s="3">
        <v>91.4</v>
      </c>
      <c r="G175" s="3">
        <v>7.4</v>
      </c>
      <c r="H175" s="3">
        <v>1812</v>
      </c>
      <c r="I175" s="3">
        <v>1656</v>
      </c>
    </row>
    <row r="176" spans="1:9" x14ac:dyDescent="0.25">
      <c r="A176" s="3" t="s">
        <v>16</v>
      </c>
      <c r="B176" s="3">
        <v>70.2</v>
      </c>
      <c r="C176" s="3">
        <v>10.4</v>
      </c>
      <c r="D176" s="3">
        <v>71.2</v>
      </c>
      <c r="E176" s="3">
        <v>13.3</v>
      </c>
      <c r="F176" s="3">
        <v>91.4</v>
      </c>
      <c r="G176" s="3">
        <v>7.4</v>
      </c>
      <c r="H176" s="3">
        <v>1526</v>
      </c>
      <c r="I176" s="3">
        <v>1395</v>
      </c>
    </row>
    <row r="177" spans="1:9" x14ac:dyDescent="0.25">
      <c r="A177" s="3" t="s">
        <v>16</v>
      </c>
      <c r="B177" s="3">
        <v>70.2</v>
      </c>
      <c r="C177" s="3">
        <v>10.4</v>
      </c>
      <c r="D177" s="3">
        <v>71.2</v>
      </c>
      <c r="E177" s="3">
        <v>13.3</v>
      </c>
      <c r="F177" s="3">
        <v>91.4</v>
      </c>
      <c r="G177" s="3">
        <v>7.4</v>
      </c>
      <c r="H177" s="3">
        <v>1720</v>
      </c>
      <c r="I177" s="3">
        <v>1572</v>
      </c>
    </row>
    <row r="178" spans="1:9" x14ac:dyDescent="0.25">
      <c r="A178" s="3" t="s">
        <v>16</v>
      </c>
      <c r="B178" s="3">
        <v>70.2</v>
      </c>
      <c r="C178" s="3">
        <v>10.4</v>
      </c>
      <c r="D178" s="3">
        <v>71.2</v>
      </c>
      <c r="E178" s="3">
        <v>13.3</v>
      </c>
      <c r="F178" s="3">
        <v>91.4</v>
      </c>
      <c r="G178" s="3">
        <v>7.4</v>
      </c>
      <c r="H178" s="3">
        <v>1868</v>
      </c>
      <c r="I178" s="3">
        <v>1707</v>
      </c>
    </row>
    <row r="179" spans="1:9" x14ac:dyDescent="0.25">
      <c r="A179" s="3" t="s">
        <v>16</v>
      </c>
      <c r="B179" s="3">
        <v>70.2</v>
      </c>
      <c r="C179" s="3">
        <v>10.4</v>
      </c>
      <c r="D179" s="3">
        <v>71.2</v>
      </c>
      <c r="E179" s="3">
        <v>13.3</v>
      </c>
      <c r="F179" s="3">
        <v>91.4</v>
      </c>
      <c r="G179" s="3">
        <v>7.4</v>
      </c>
      <c r="H179" s="3">
        <v>1725</v>
      </c>
      <c r="I179" s="3">
        <v>1576</v>
      </c>
    </row>
    <row r="180" spans="1:9" x14ac:dyDescent="0.25">
      <c r="A180" s="3" t="s">
        <v>16</v>
      </c>
      <c r="B180" s="3">
        <v>70.2</v>
      </c>
      <c r="C180" s="3">
        <v>10.4</v>
      </c>
      <c r="D180" s="3">
        <v>71.2</v>
      </c>
      <c r="E180" s="3">
        <v>13.3</v>
      </c>
      <c r="F180" s="3">
        <v>91.4</v>
      </c>
      <c r="G180" s="3">
        <v>7.4</v>
      </c>
      <c r="H180" s="3">
        <v>1690</v>
      </c>
      <c r="I180" s="3">
        <v>1545</v>
      </c>
    </row>
    <row r="181" spans="1:9" x14ac:dyDescent="0.25">
      <c r="A181" s="3" t="s">
        <v>16</v>
      </c>
      <c r="B181" s="3">
        <v>70.2</v>
      </c>
      <c r="C181" s="3">
        <v>10.4</v>
      </c>
      <c r="D181" s="3">
        <v>71.2</v>
      </c>
      <c r="E181" s="3">
        <v>13.3</v>
      </c>
      <c r="F181" s="3">
        <v>91.4</v>
      </c>
      <c r="G181" s="3">
        <v>7.4</v>
      </c>
      <c r="H181" s="3">
        <v>1635</v>
      </c>
      <c r="I181" s="3">
        <v>1494</v>
      </c>
    </row>
    <row r="182" spans="1:9" x14ac:dyDescent="0.25">
      <c r="A182" s="3" t="s">
        <v>16</v>
      </c>
      <c r="B182" s="3">
        <v>70.2</v>
      </c>
      <c r="C182" s="3">
        <v>10.4</v>
      </c>
      <c r="D182" s="3">
        <v>71.2</v>
      </c>
      <c r="E182" s="3">
        <v>13.3</v>
      </c>
      <c r="F182" s="3">
        <v>91.4</v>
      </c>
      <c r="G182" s="3">
        <v>7.4</v>
      </c>
      <c r="H182" s="3">
        <v>1748</v>
      </c>
      <c r="I182" s="3">
        <v>1598</v>
      </c>
    </row>
    <row r="183" spans="1:9" x14ac:dyDescent="0.25">
      <c r="A183" s="3" t="s">
        <v>16</v>
      </c>
      <c r="B183" s="3">
        <v>70.2</v>
      </c>
      <c r="C183" s="3">
        <v>10.4</v>
      </c>
      <c r="D183" s="3">
        <v>71.2</v>
      </c>
      <c r="E183" s="3">
        <v>13.3</v>
      </c>
      <c r="F183" s="3">
        <v>91.4</v>
      </c>
      <c r="G183" s="3">
        <v>7.4</v>
      </c>
      <c r="H183" s="3">
        <v>1760</v>
      </c>
      <c r="I183" s="3">
        <v>1608</v>
      </c>
    </row>
    <row r="184" spans="1:9" x14ac:dyDescent="0.25">
      <c r="A184" s="3" t="s">
        <v>16</v>
      </c>
      <c r="B184" s="3">
        <v>70.2</v>
      </c>
      <c r="C184" s="3">
        <v>10.4</v>
      </c>
      <c r="D184" s="3">
        <v>71.2</v>
      </c>
      <c r="E184" s="3">
        <v>13.3</v>
      </c>
      <c r="F184" s="3">
        <v>91.4</v>
      </c>
      <c r="G184" s="3">
        <v>7.4</v>
      </c>
      <c r="H184" s="3">
        <v>1727</v>
      </c>
      <c r="I184" s="3">
        <v>1578</v>
      </c>
    </row>
    <row r="185" spans="1:9" x14ac:dyDescent="0.25">
      <c r="A185" s="3" t="s">
        <v>16</v>
      </c>
      <c r="B185" s="3">
        <v>70.2</v>
      </c>
      <c r="C185" s="3">
        <v>10.4</v>
      </c>
      <c r="D185" s="3">
        <v>71.2</v>
      </c>
      <c r="E185" s="3">
        <v>13.3</v>
      </c>
      <c r="F185" s="3">
        <v>91.4</v>
      </c>
      <c r="G185" s="3">
        <v>7.4</v>
      </c>
      <c r="H185" s="3">
        <v>1741</v>
      </c>
      <c r="I185" s="3">
        <v>1591</v>
      </c>
    </row>
    <row r="186" spans="1:9" x14ac:dyDescent="0.25">
      <c r="A186" s="3" t="s">
        <v>16</v>
      </c>
      <c r="B186" s="3">
        <v>70.2</v>
      </c>
      <c r="C186" s="3">
        <v>10.4</v>
      </c>
      <c r="D186" s="3">
        <v>71.2</v>
      </c>
      <c r="E186" s="3">
        <v>13.3</v>
      </c>
      <c r="F186" s="3">
        <v>91.4</v>
      </c>
      <c r="G186" s="3">
        <v>7.4</v>
      </c>
      <c r="H186" s="3">
        <v>1627</v>
      </c>
      <c r="I186" s="3">
        <v>1487</v>
      </c>
    </row>
    <row r="187" spans="1:9" x14ac:dyDescent="0.25">
      <c r="A187" s="3" t="s">
        <v>16</v>
      </c>
      <c r="B187" s="3">
        <v>70.2</v>
      </c>
      <c r="C187" s="3">
        <v>10.4</v>
      </c>
      <c r="D187" s="3">
        <v>71.2</v>
      </c>
      <c r="E187" s="3">
        <v>13.3</v>
      </c>
      <c r="F187" s="3">
        <v>91.4</v>
      </c>
      <c r="G187" s="3">
        <v>7.4</v>
      </c>
      <c r="H187" s="3">
        <v>1828</v>
      </c>
      <c r="I187" s="3">
        <v>1671</v>
      </c>
    </row>
    <row r="188" spans="1:9" x14ac:dyDescent="0.25">
      <c r="A188" s="3" t="s">
        <v>16</v>
      </c>
      <c r="B188" s="3">
        <v>70.2</v>
      </c>
      <c r="C188" s="3">
        <v>10.4</v>
      </c>
      <c r="D188" s="3">
        <v>71.2</v>
      </c>
      <c r="E188" s="3">
        <v>13.3</v>
      </c>
      <c r="F188" s="3">
        <v>91.4</v>
      </c>
      <c r="G188" s="3">
        <v>7.4</v>
      </c>
      <c r="H188" s="3">
        <v>1939</v>
      </c>
      <c r="I188" s="3">
        <v>1772</v>
      </c>
    </row>
    <row r="189" spans="1:9" x14ac:dyDescent="0.25">
      <c r="A189" s="3" t="s">
        <v>16</v>
      </c>
      <c r="B189" s="3">
        <v>70.2</v>
      </c>
      <c r="C189" s="3">
        <v>10.4</v>
      </c>
      <c r="D189" s="3">
        <v>71.2</v>
      </c>
      <c r="E189" s="3">
        <v>13.3</v>
      </c>
      <c r="F189" s="3">
        <v>91.4</v>
      </c>
      <c r="G189" s="3">
        <v>7.4</v>
      </c>
      <c r="H189" s="3">
        <v>1753</v>
      </c>
      <c r="I189" s="3">
        <v>1602</v>
      </c>
    </row>
    <row r="190" spans="1:9" x14ac:dyDescent="0.25">
      <c r="A190" s="3" t="s">
        <v>16</v>
      </c>
      <c r="B190" s="3">
        <v>70.2</v>
      </c>
      <c r="C190" s="3">
        <v>10.4</v>
      </c>
      <c r="D190" s="3">
        <v>71.2</v>
      </c>
      <c r="E190" s="3">
        <v>13.3</v>
      </c>
      <c r="F190" s="3">
        <v>91.4</v>
      </c>
      <c r="G190" s="3">
        <v>7.4</v>
      </c>
      <c r="H190" s="3">
        <v>1803</v>
      </c>
      <c r="I190" s="3">
        <v>1648</v>
      </c>
    </row>
    <row r="191" spans="1:9" x14ac:dyDescent="0.25">
      <c r="A191" s="3" t="s">
        <v>16</v>
      </c>
      <c r="B191" s="3">
        <v>70.2</v>
      </c>
      <c r="C191" s="3">
        <v>10.4</v>
      </c>
      <c r="D191" s="3">
        <v>71.2</v>
      </c>
      <c r="E191" s="3">
        <v>13.3</v>
      </c>
      <c r="F191" s="3">
        <v>91.4</v>
      </c>
      <c r="G191" s="3">
        <v>7.4</v>
      </c>
      <c r="H191" s="3">
        <v>1670</v>
      </c>
      <c r="I191" s="3">
        <v>1526</v>
      </c>
    </row>
    <row r="192" spans="1:9" x14ac:dyDescent="0.25">
      <c r="A192" s="3" t="s">
        <v>16</v>
      </c>
      <c r="B192" s="3">
        <v>70.2</v>
      </c>
      <c r="C192" s="3">
        <v>10.4</v>
      </c>
      <c r="D192" s="3">
        <v>71.2</v>
      </c>
      <c r="E192" s="3">
        <v>13.3</v>
      </c>
      <c r="F192" s="3">
        <v>91.4</v>
      </c>
      <c r="G192" s="3">
        <v>7.4</v>
      </c>
      <c r="H192" s="3">
        <v>1861</v>
      </c>
      <c r="I192" s="3">
        <v>1701</v>
      </c>
    </row>
    <row r="193" spans="1:9" x14ac:dyDescent="0.25">
      <c r="A193" s="3" t="s">
        <v>16</v>
      </c>
      <c r="B193" s="3">
        <v>70.2</v>
      </c>
      <c r="C193" s="3">
        <v>10.4</v>
      </c>
      <c r="D193" s="3">
        <v>71.2</v>
      </c>
      <c r="E193" s="3">
        <v>13.3</v>
      </c>
      <c r="F193" s="3">
        <v>91.4</v>
      </c>
      <c r="G193" s="3">
        <v>7.4</v>
      </c>
      <c r="H193" s="3">
        <v>1034</v>
      </c>
      <c r="I193" s="3">
        <v>945</v>
      </c>
    </row>
    <row r="194" spans="1:9" x14ac:dyDescent="0.25">
      <c r="A194" s="3" t="s">
        <v>16</v>
      </c>
      <c r="B194" s="3">
        <v>70.2</v>
      </c>
      <c r="C194" s="3">
        <v>10.4</v>
      </c>
      <c r="D194" s="3">
        <v>71.2</v>
      </c>
      <c r="E194" s="3">
        <v>13.3</v>
      </c>
      <c r="F194" s="3">
        <v>91.4</v>
      </c>
      <c r="G194" s="3">
        <v>7.4</v>
      </c>
      <c r="H194" s="3">
        <v>1420</v>
      </c>
      <c r="I194" s="3">
        <v>1298</v>
      </c>
    </row>
    <row r="195" spans="1:9" x14ac:dyDescent="0.25">
      <c r="A195" s="3" t="s">
        <v>16</v>
      </c>
      <c r="B195" s="3">
        <v>70.2</v>
      </c>
      <c r="C195" s="3">
        <v>10.4</v>
      </c>
      <c r="D195" s="3">
        <v>71.2</v>
      </c>
      <c r="E195" s="3">
        <v>13.3</v>
      </c>
      <c r="F195" s="3">
        <v>91.4</v>
      </c>
      <c r="G195" s="3">
        <v>7.4</v>
      </c>
      <c r="H195" s="3">
        <v>1348</v>
      </c>
      <c r="I195" s="3">
        <v>1232</v>
      </c>
    </row>
    <row r="196" spans="1:9" x14ac:dyDescent="0.25">
      <c r="A196" s="3" t="s">
        <v>16</v>
      </c>
      <c r="B196" s="3">
        <v>70.2</v>
      </c>
      <c r="C196" s="3">
        <v>10.4</v>
      </c>
      <c r="D196" s="3">
        <v>71.2</v>
      </c>
      <c r="E196" s="3">
        <v>13.3</v>
      </c>
      <c r="F196" s="3">
        <v>91.4</v>
      </c>
      <c r="G196" s="3">
        <v>7.4</v>
      </c>
      <c r="H196" s="3">
        <v>1505</v>
      </c>
      <c r="I196" s="3">
        <v>1375</v>
      </c>
    </row>
    <row r="197" spans="1:9" x14ac:dyDescent="0.25">
      <c r="A197" s="3" t="s">
        <v>16</v>
      </c>
      <c r="B197" s="3">
        <v>70.2</v>
      </c>
      <c r="C197" s="3">
        <v>10.4</v>
      </c>
      <c r="D197" s="3">
        <v>71.2</v>
      </c>
      <c r="E197" s="3">
        <v>13.3</v>
      </c>
      <c r="F197" s="3">
        <v>91.4</v>
      </c>
      <c r="G197" s="3">
        <v>7.4</v>
      </c>
      <c r="H197" s="3">
        <v>1610</v>
      </c>
      <c r="I197" s="3">
        <v>1472</v>
      </c>
    </row>
    <row r="198" spans="1:9" x14ac:dyDescent="0.25">
      <c r="A198" s="3" t="s">
        <v>16</v>
      </c>
      <c r="B198" s="3">
        <v>70.2</v>
      </c>
      <c r="C198" s="3">
        <v>10.4</v>
      </c>
      <c r="D198" s="3">
        <v>71.2</v>
      </c>
      <c r="E198" s="3">
        <v>13.3</v>
      </c>
      <c r="F198" s="3">
        <v>91.4</v>
      </c>
      <c r="G198" s="3">
        <v>7.4</v>
      </c>
      <c r="H198" s="3">
        <v>1509</v>
      </c>
      <c r="I198" s="3">
        <v>1379</v>
      </c>
    </row>
    <row r="199" spans="1:9" x14ac:dyDescent="0.25">
      <c r="A199" s="3" t="s">
        <v>16</v>
      </c>
      <c r="B199" s="3">
        <v>70.2</v>
      </c>
      <c r="C199" s="3">
        <v>10.4</v>
      </c>
      <c r="D199" s="3">
        <v>71.2</v>
      </c>
      <c r="E199" s="3">
        <v>13.3</v>
      </c>
      <c r="F199" s="3">
        <v>91.4</v>
      </c>
      <c r="G199" s="3">
        <v>7.4</v>
      </c>
      <c r="H199" s="3">
        <v>1568</v>
      </c>
      <c r="I199" s="3">
        <v>1433</v>
      </c>
    </row>
    <row r="200" spans="1:9" x14ac:dyDescent="0.25">
      <c r="A200" s="3" t="s">
        <v>16</v>
      </c>
      <c r="B200" s="3">
        <v>70.2</v>
      </c>
      <c r="C200" s="3">
        <v>10.4</v>
      </c>
      <c r="D200" s="3">
        <v>71.2</v>
      </c>
      <c r="E200" s="3">
        <v>13.3</v>
      </c>
      <c r="F200" s="3">
        <v>91.4</v>
      </c>
      <c r="G200" s="3">
        <v>7.4</v>
      </c>
      <c r="H200" s="3">
        <v>1460</v>
      </c>
      <c r="I200" s="3">
        <v>1334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5D67-1672-42AA-A340-3C90B34A600E}">
  <dimension ref="A1:F7"/>
  <sheetViews>
    <sheetView workbookViewId="0">
      <selection activeCell="F5" sqref="F5"/>
    </sheetView>
  </sheetViews>
  <sheetFormatPr defaultRowHeight="15" x14ac:dyDescent="0.25"/>
  <sheetData>
    <row r="1" spans="1:6" x14ac:dyDescent="0.25">
      <c r="B1" t="s">
        <v>8</v>
      </c>
    </row>
    <row r="3" spans="1:6" x14ac:dyDescent="0.25">
      <c r="A3" t="s">
        <v>12</v>
      </c>
      <c r="B3" t="s">
        <v>9</v>
      </c>
      <c r="C3" t="s">
        <v>10</v>
      </c>
      <c r="D3" t="s">
        <v>11</v>
      </c>
    </row>
    <row r="4" spans="1:6" x14ac:dyDescent="0.25">
      <c r="A4">
        <v>0</v>
      </c>
      <c r="B4">
        <v>281.10000000000002</v>
      </c>
    </row>
    <row r="5" spans="1:6" x14ac:dyDescent="0.25">
      <c r="A5">
        <v>45</v>
      </c>
      <c r="B5">
        <v>352.3</v>
      </c>
      <c r="C5">
        <f>B5-B4</f>
        <v>71.199999999999989</v>
      </c>
      <c r="D5">
        <v>6.7</v>
      </c>
      <c r="E5">
        <f t="shared" ref="E5:E6" si="0">D5*C5</f>
        <v>477.03999999999996</v>
      </c>
      <c r="F5">
        <f>E5/A5</f>
        <v>10.600888888888887</v>
      </c>
    </row>
    <row r="6" spans="1:6" x14ac:dyDescent="0.25">
      <c r="A6">
        <v>75</v>
      </c>
      <c r="B6">
        <v>379.1</v>
      </c>
      <c r="C6">
        <f>B6-B4</f>
        <v>98</v>
      </c>
      <c r="D6">
        <v>7.21</v>
      </c>
      <c r="E6">
        <f t="shared" si="0"/>
        <v>706.58</v>
      </c>
      <c r="F6">
        <f t="shared" ref="F6:F7" si="1">E6/A6</f>
        <v>9.4210666666666665</v>
      </c>
    </row>
    <row r="7" spans="1:6" x14ac:dyDescent="0.25">
      <c r="A7">
        <v>105</v>
      </c>
      <c r="B7">
        <v>409</v>
      </c>
      <c r="C7">
        <f>B7-B4</f>
        <v>127.89999999999998</v>
      </c>
      <c r="D7">
        <v>8.08</v>
      </c>
      <c r="E7">
        <f>D7*C7</f>
        <v>1033.4319999999998</v>
      </c>
      <c r="F7">
        <f t="shared" si="1"/>
        <v>9.8422095238095224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ValidationData</vt:lpstr>
      <vt:lpstr>Sheet1</vt:lpstr>
      <vt:lpstr>working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Keogh, Thomas (A&amp;F, Black Mountain)</cp:lastModifiedBy>
  <dcterms:created xsi:type="dcterms:W3CDTF">2015-06-05T18:17:20Z</dcterms:created>
  <dcterms:modified xsi:type="dcterms:W3CDTF">2026-04-15T22:48:24Z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2026-04-09T04:54:46Z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1fb1374f-e3b8-46e5-bb52-c3eb16afb4bb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