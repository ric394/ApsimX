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Repos\ApsimX\Tests\Validation\Stock\"/>
    </mc:Choice>
  </mc:AlternateContent>
  <xr:revisionPtr revIDLastSave="0" documentId="13_ncr:1_{1584DC0F-93A4-48DB-91B9-17AF1670DF8B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ValidationData" sheetId="1" r:id="rId1"/>
    <sheet name="wo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3" i="1" l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96" i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49" i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4" i="1"/>
  <c r="H5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3" i="1"/>
  <c r="H2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2" i="1"/>
  <c r="F6" i="2"/>
  <c r="F7" i="2"/>
  <c r="F5" i="2"/>
  <c r="E5" i="2"/>
  <c r="E6" i="2"/>
  <c r="E7" i="2"/>
  <c r="C7" i="2"/>
  <c r="C6" i="2"/>
  <c r="C5" i="2"/>
</calcChain>
</file>

<file path=xl/sharedStrings.xml><?xml version="1.0" encoding="utf-8"?>
<sst xmlns="http://schemas.openxmlformats.org/spreadsheetml/2006/main" count="202" uniqueCount="18">
  <si>
    <t>SimulationName</t>
  </si>
  <si>
    <t>DaysOfFeed</t>
  </si>
  <si>
    <t>AssumedStartDate</t>
  </si>
  <si>
    <t>Stock.WeightAll</t>
  </si>
  <si>
    <t>TotalIntake</t>
  </si>
  <si>
    <t>LiveWtGain</t>
  </si>
  <si>
    <t>Stock.Intake.All</t>
  </si>
  <si>
    <t>Date</t>
  </si>
  <si>
    <t>Coleman</t>
  </si>
  <si>
    <t>EBW</t>
  </si>
  <si>
    <t>EBWI</t>
  </si>
  <si>
    <t>FeedDM/EMWI</t>
  </si>
  <si>
    <t>Days</t>
  </si>
  <si>
    <t>A</t>
  </si>
  <si>
    <t>E</t>
  </si>
  <si>
    <t>I</t>
  </si>
  <si>
    <t>M</t>
  </si>
  <si>
    <t>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</si>
</sst>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24DD0BE3-8793-4EFC-A3C7-8494F1C99A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64"/>
  <sheetViews>
    <sheetView tabSelected="1" workbookViewId="0">
      <selection activeCell="H1" sqref="H1"/>
    </sheetView>
  </sheetViews>
  <sheetFormatPr defaultRowHeight="14.75" x14ac:dyDescent="0.75"/>
  <cols>
    <col min="1" max="1" width="14.86328125" bestFit="1" customWidth="1"/>
    <col min="2" max="2" width="18.81640625" customWidth="1"/>
    <col min="3" max="3" width="10.1796875" customWidth="1"/>
    <col min="4" max="4" width="9.1796875" bestFit="1" customWidth="1"/>
    <col min="5" max="5" width="10.86328125" bestFit="1" customWidth="1"/>
    <col min="6" max="6" width="15" bestFit="1" customWidth="1"/>
    <col min="7" max="7" width="14.1796875" bestFit="1" customWidth="1"/>
    <col min="14" max="14" width="14.453125" bestFit="1" customWidth="1"/>
    <col min="15" max="15" width="13.76953125" bestFit="1" customWidth="1"/>
  </cols>
  <sheetData>
    <row r="1" spans="1:9" x14ac:dyDescent="0.75">
      <c r="A1" t="s">
        <v>0</v>
      </c>
      <c r="B1" t="s">
        <v>7</v>
      </c>
      <c r="C1" t="s">
        <v>17</v>
      </c>
      <c r="D1" t="s">
        <v>2</v>
      </c>
      <c r="E1" t="s">
        <v>1</v>
      </c>
      <c r="F1" t="s">
        <v>6</v>
      </c>
      <c r="G1" t="s">
        <v>3</v>
      </c>
      <c r="H1" t="s">
        <v>4</v>
      </c>
      <c r="I1" t="s">
        <v>5</v>
      </c>
    </row>
    <row r="2" spans="1:9" x14ac:dyDescent="0.75">
      <c r="A2" t="str">
        <f t="shared" ref="A2:A33" si="0">"Thomas2007"&amp;C2</f>
        <v>Thomas2007A</v>
      </c>
      <c r="B2" s="1">
        <v>38642</v>
      </c>
      <c r="C2" s="3" t="s">
        <v>13</v>
      </c>
      <c r="D2" s="1"/>
      <c r="F2" s="3">
        <v>1424</v>
      </c>
      <c r="G2" s="3"/>
      <c r="H2">
        <f>F2/1000</f>
        <v>1.4239999999999999</v>
      </c>
    </row>
    <row r="3" spans="1:9" x14ac:dyDescent="0.75">
      <c r="A3" t="str">
        <f t="shared" si="0"/>
        <v>Thomas2007A</v>
      </c>
      <c r="B3" s="1">
        <f>B2+1</f>
        <v>38643</v>
      </c>
      <c r="C3" s="3" t="s">
        <v>13</v>
      </c>
      <c r="D3" s="1"/>
      <c r="F3" s="3">
        <v>1420</v>
      </c>
      <c r="G3" s="3"/>
      <c r="H3">
        <f>H2+F3/1000</f>
        <v>2.8439999999999999</v>
      </c>
    </row>
    <row r="4" spans="1:9" x14ac:dyDescent="0.75">
      <c r="A4" t="str">
        <f t="shared" si="0"/>
        <v>Thomas2007A</v>
      </c>
      <c r="B4" s="1">
        <f t="shared" ref="B4:B63" si="1">B3+1</f>
        <v>38644</v>
      </c>
      <c r="C4" s="3" t="s">
        <v>13</v>
      </c>
      <c r="D4" s="1"/>
      <c r="F4" s="3">
        <v>1722</v>
      </c>
      <c r="G4" s="3"/>
      <c r="H4">
        <f t="shared" ref="H4:H48" si="2">H3+F4/1000</f>
        <v>4.5659999999999998</v>
      </c>
    </row>
    <row r="5" spans="1:9" x14ac:dyDescent="0.75">
      <c r="A5" t="str">
        <f t="shared" si="0"/>
        <v>Thomas2007A</v>
      </c>
      <c r="B5" s="1">
        <f t="shared" si="1"/>
        <v>38645</v>
      </c>
      <c r="C5" s="3" t="s">
        <v>13</v>
      </c>
      <c r="D5" s="1"/>
      <c r="F5" s="3">
        <v>2067</v>
      </c>
      <c r="G5" s="3"/>
      <c r="H5">
        <f t="shared" si="2"/>
        <v>6.633</v>
      </c>
    </row>
    <row r="6" spans="1:9" x14ac:dyDescent="0.75">
      <c r="A6" t="str">
        <f t="shared" si="0"/>
        <v>Thomas2007A</v>
      </c>
      <c r="B6" s="1">
        <f t="shared" si="1"/>
        <v>38646</v>
      </c>
      <c r="C6" s="3" t="s">
        <v>13</v>
      </c>
      <c r="D6" s="1"/>
      <c r="F6" s="3">
        <v>1843</v>
      </c>
      <c r="G6" s="4">
        <v>53.6</v>
      </c>
      <c r="H6">
        <f t="shared" si="2"/>
        <v>8.4759999999999991</v>
      </c>
    </row>
    <row r="7" spans="1:9" x14ac:dyDescent="0.75">
      <c r="A7" t="str">
        <f t="shared" si="0"/>
        <v>Thomas2007A</v>
      </c>
      <c r="B7" s="1">
        <f t="shared" si="1"/>
        <v>38647</v>
      </c>
      <c r="C7" s="3" t="s">
        <v>13</v>
      </c>
      <c r="D7" s="1"/>
      <c r="F7" s="3">
        <v>1799</v>
      </c>
      <c r="G7" s="3"/>
      <c r="H7">
        <f t="shared" si="2"/>
        <v>10.274999999999999</v>
      </c>
    </row>
    <row r="8" spans="1:9" x14ac:dyDescent="0.75">
      <c r="A8" t="str">
        <f t="shared" si="0"/>
        <v>Thomas2007A</v>
      </c>
      <c r="B8" s="1">
        <f t="shared" si="1"/>
        <v>38648</v>
      </c>
      <c r="C8" s="3" t="s">
        <v>13</v>
      </c>
      <c r="D8" s="1"/>
      <c r="F8" s="3">
        <v>1900</v>
      </c>
      <c r="G8" s="3"/>
      <c r="H8">
        <f t="shared" si="2"/>
        <v>12.174999999999999</v>
      </c>
    </row>
    <row r="9" spans="1:9" x14ac:dyDescent="0.75">
      <c r="A9" t="str">
        <f t="shared" si="0"/>
        <v>Thomas2007A</v>
      </c>
      <c r="B9" s="1">
        <f t="shared" si="1"/>
        <v>38649</v>
      </c>
      <c r="C9" s="3" t="s">
        <v>13</v>
      </c>
      <c r="D9" s="1"/>
      <c r="F9" s="3">
        <v>1793</v>
      </c>
      <c r="G9" s="3"/>
      <c r="H9">
        <f t="shared" si="2"/>
        <v>13.967999999999998</v>
      </c>
    </row>
    <row r="10" spans="1:9" x14ac:dyDescent="0.75">
      <c r="A10" t="str">
        <f t="shared" si="0"/>
        <v>Thomas2007A</v>
      </c>
      <c r="B10" s="1">
        <f t="shared" si="1"/>
        <v>38650</v>
      </c>
      <c r="C10" s="3" t="s">
        <v>13</v>
      </c>
      <c r="D10" s="1"/>
      <c r="F10" s="3">
        <v>1846</v>
      </c>
      <c r="G10" s="3"/>
      <c r="H10">
        <f t="shared" si="2"/>
        <v>15.813999999999998</v>
      </c>
    </row>
    <row r="11" spans="1:9" x14ac:dyDescent="0.75">
      <c r="A11" t="str">
        <f t="shared" si="0"/>
        <v>Thomas2007A</v>
      </c>
      <c r="B11" s="1">
        <f t="shared" si="1"/>
        <v>38651</v>
      </c>
      <c r="C11" s="3" t="s">
        <v>13</v>
      </c>
      <c r="D11" s="1"/>
      <c r="F11" s="3">
        <v>1657</v>
      </c>
      <c r="G11" s="3"/>
      <c r="H11">
        <f t="shared" si="2"/>
        <v>17.470999999999997</v>
      </c>
    </row>
    <row r="12" spans="1:9" x14ac:dyDescent="0.75">
      <c r="A12" t="str">
        <f t="shared" si="0"/>
        <v>Thomas2007A</v>
      </c>
      <c r="B12" s="1">
        <f t="shared" si="1"/>
        <v>38652</v>
      </c>
      <c r="C12" s="3" t="s">
        <v>13</v>
      </c>
      <c r="D12" s="1"/>
      <c r="F12" s="3">
        <v>1873</v>
      </c>
      <c r="G12" s="3"/>
      <c r="H12">
        <f t="shared" si="2"/>
        <v>19.343999999999998</v>
      </c>
    </row>
    <row r="13" spans="1:9" x14ac:dyDescent="0.75">
      <c r="A13" t="str">
        <f t="shared" si="0"/>
        <v>Thomas2007A</v>
      </c>
      <c r="B13" s="1">
        <f t="shared" si="1"/>
        <v>38653</v>
      </c>
      <c r="C13" s="3" t="s">
        <v>13</v>
      </c>
      <c r="D13" s="1"/>
      <c r="F13" s="3">
        <v>1860</v>
      </c>
      <c r="G13" s="4">
        <v>54.9</v>
      </c>
      <c r="H13">
        <f t="shared" si="2"/>
        <v>21.203999999999997</v>
      </c>
    </row>
    <row r="14" spans="1:9" x14ac:dyDescent="0.75">
      <c r="A14" t="str">
        <f t="shared" si="0"/>
        <v>Thomas2007A</v>
      </c>
      <c r="B14" s="1">
        <f t="shared" si="1"/>
        <v>38654</v>
      </c>
      <c r="C14" s="3" t="s">
        <v>13</v>
      </c>
      <c r="D14" s="1"/>
      <c r="F14" s="3">
        <v>1679</v>
      </c>
      <c r="G14" s="3"/>
      <c r="H14">
        <f t="shared" si="2"/>
        <v>22.882999999999996</v>
      </c>
    </row>
    <row r="15" spans="1:9" x14ac:dyDescent="0.75">
      <c r="A15" t="str">
        <f t="shared" si="0"/>
        <v>Thomas2007A</v>
      </c>
      <c r="B15" s="1">
        <f t="shared" si="1"/>
        <v>38655</v>
      </c>
      <c r="C15" s="3" t="s">
        <v>13</v>
      </c>
      <c r="D15" s="1"/>
      <c r="F15" s="3">
        <v>2001</v>
      </c>
      <c r="G15" s="3"/>
      <c r="H15">
        <f t="shared" si="2"/>
        <v>24.883999999999997</v>
      </c>
    </row>
    <row r="16" spans="1:9" x14ac:dyDescent="0.75">
      <c r="A16" t="str">
        <f t="shared" si="0"/>
        <v>Thomas2007A</v>
      </c>
      <c r="B16" s="1">
        <f t="shared" si="1"/>
        <v>38656</v>
      </c>
      <c r="C16" s="3" t="s">
        <v>13</v>
      </c>
      <c r="D16" s="1"/>
      <c r="F16" s="3">
        <v>1703</v>
      </c>
      <c r="G16" s="3"/>
      <c r="H16">
        <f t="shared" si="2"/>
        <v>26.586999999999996</v>
      </c>
    </row>
    <row r="17" spans="1:8" x14ac:dyDescent="0.75">
      <c r="A17" t="str">
        <f t="shared" si="0"/>
        <v>Thomas2007A</v>
      </c>
      <c r="B17" s="1">
        <f t="shared" si="1"/>
        <v>38657</v>
      </c>
      <c r="C17" s="3" t="s">
        <v>13</v>
      </c>
      <c r="D17" s="1"/>
      <c r="F17" s="3">
        <v>1485</v>
      </c>
      <c r="G17" s="3"/>
      <c r="H17">
        <f t="shared" si="2"/>
        <v>28.071999999999996</v>
      </c>
    </row>
    <row r="18" spans="1:8" x14ac:dyDescent="0.75">
      <c r="A18" t="str">
        <f t="shared" si="0"/>
        <v>Thomas2007A</v>
      </c>
      <c r="B18" s="1">
        <f t="shared" si="1"/>
        <v>38658</v>
      </c>
      <c r="C18" s="3" t="s">
        <v>13</v>
      </c>
      <c r="D18" s="1"/>
      <c r="F18" s="3">
        <v>1659</v>
      </c>
      <c r="G18" s="3"/>
      <c r="H18">
        <f t="shared" si="2"/>
        <v>29.730999999999995</v>
      </c>
    </row>
    <row r="19" spans="1:8" x14ac:dyDescent="0.75">
      <c r="A19" t="str">
        <f t="shared" si="0"/>
        <v>Thomas2007A</v>
      </c>
      <c r="B19" s="1">
        <f t="shared" si="1"/>
        <v>38659</v>
      </c>
      <c r="C19" s="3" t="s">
        <v>13</v>
      </c>
      <c r="D19" s="1"/>
      <c r="F19" s="3">
        <v>1668</v>
      </c>
      <c r="G19" s="3"/>
      <c r="H19">
        <f t="shared" si="2"/>
        <v>31.398999999999994</v>
      </c>
    </row>
    <row r="20" spans="1:8" x14ac:dyDescent="0.75">
      <c r="A20" t="str">
        <f t="shared" si="0"/>
        <v>Thomas2007A</v>
      </c>
      <c r="B20" s="1">
        <f t="shared" si="1"/>
        <v>38660</v>
      </c>
      <c r="C20" s="3" t="s">
        <v>13</v>
      </c>
      <c r="D20" s="1"/>
      <c r="F20" s="3">
        <v>2322</v>
      </c>
      <c r="G20" s="4">
        <v>54</v>
      </c>
      <c r="H20">
        <f t="shared" si="2"/>
        <v>33.720999999999997</v>
      </c>
    </row>
    <row r="21" spans="1:8" x14ac:dyDescent="0.75">
      <c r="A21" t="str">
        <f t="shared" si="0"/>
        <v>Thomas2007A</v>
      </c>
      <c r="B21" s="1">
        <f t="shared" si="1"/>
        <v>38661</v>
      </c>
      <c r="C21" s="3" t="s">
        <v>13</v>
      </c>
      <c r="D21" s="1"/>
      <c r="F21" s="3">
        <v>1883</v>
      </c>
      <c r="G21" s="3"/>
      <c r="H21">
        <f t="shared" si="2"/>
        <v>35.603999999999999</v>
      </c>
    </row>
    <row r="22" spans="1:8" x14ac:dyDescent="0.75">
      <c r="A22" t="str">
        <f t="shared" si="0"/>
        <v>Thomas2007A</v>
      </c>
      <c r="B22" s="1">
        <f t="shared" si="1"/>
        <v>38662</v>
      </c>
      <c r="C22" s="3" t="s">
        <v>13</v>
      </c>
      <c r="D22" s="1"/>
      <c r="F22" s="3">
        <v>1756</v>
      </c>
      <c r="G22" s="3"/>
      <c r="H22">
        <f t="shared" si="2"/>
        <v>37.36</v>
      </c>
    </row>
    <row r="23" spans="1:8" x14ac:dyDescent="0.75">
      <c r="A23" t="str">
        <f t="shared" si="0"/>
        <v>Thomas2007A</v>
      </c>
      <c r="B23" s="1">
        <f t="shared" si="1"/>
        <v>38663</v>
      </c>
      <c r="C23" s="3" t="s">
        <v>13</v>
      </c>
      <c r="D23" s="1"/>
      <c r="F23" s="3">
        <v>1952</v>
      </c>
      <c r="G23" s="3"/>
      <c r="H23">
        <f t="shared" si="2"/>
        <v>39.311999999999998</v>
      </c>
    </row>
    <row r="24" spans="1:8" x14ac:dyDescent="0.75">
      <c r="A24" t="str">
        <f t="shared" si="0"/>
        <v>Thomas2007A</v>
      </c>
      <c r="B24" s="1">
        <f t="shared" si="1"/>
        <v>38664</v>
      </c>
      <c r="C24" s="3" t="s">
        <v>13</v>
      </c>
      <c r="D24" s="1"/>
      <c r="F24" s="3">
        <v>1852</v>
      </c>
      <c r="G24" s="3"/>
      <c r="H24">
        <f t="shared" si="2"/>
        <v>41.163999999999994</v>
      </c>
    </row>
    <row r="25" spans="1:8" x14ac:dyDescent="0.75">
      <c r="A25" t="str">
        <f t="shared" si="0"/>
        <v>Thomas2007A</v>
      </c>
      <c r="B25" s="1">
        <f t="shared" si="1"/>
        <v>38665</v>
      </c>
      <c r="C25" s="3" t="s">
        <v>13</v>
      </c>
      <c r="D25" s="1"/>
      <c r="F25" s="3">
        <v>1725</v>
      </c>
      <c r="G25" s="3"/>
      <c r="H25">
        <f t="shared" si="2"/>
        <v>42.888999999999996</v>
      </c>
    </row>
    <row r="26" spans="1:8" x14ac:dyDescent="0.75">
      <c r="A26" t="str">
        <f t="shared" si="0"/>
        <v>Thomas2007A</v>
      </c>
      <c r="B26" s="1">
        <f t="shared" si="1"/>
        <v>38666</v>
      </c>
      <c r="C26" s="3" t="s">
        <v>13</v>
      </c>
      <c r="D26" s="1"/>
      <c r="F26" s="3">
        <v>1514</v>
      </c>
      <c r="G26" s="3"/>
      <c r="H26">
        <f t="shared" si="2"/>
        <v>44.402999999999999</v>
      </c>
    </row>
    <row r="27" spans="1:8" x14ac:dyDescent="0.75">
      <c r="A27" t="str">
        <f t="shared" si="0"/>
        <v>Thomas2007A</v>
      </c>
      <c r="B27" s="1">
        <f t="shared" si="1"/>
        <v>38667</v>
      </c>
      <c r="C27" s="3" t="s">
        <v>13</v>
      </c>
      <c r="D27" s="1"/>
      <c r="F27" s="3">
        <v>1445</v>
      </c>
      <c r="G27" s="4">
        <v>55.5</v>
      </c>
      <c r="H27">
        <f t="shared" si="2"/>
        <v>45.847999999999999</v>
      </c>
    </row>
    <row r="28" spans="1:8" x14ac:dyDescent="0.75">
      <c r="A28" t="str">
        <f t="shared" si="0"/>
        <v>Thomas2007A</v>
      </c>
      <c r="B28" s="1">
        <f t="shared" si="1"/>
        <v>38668</v>
      </c>
      <c r="C28" s="3" t="s">
        <v>13</v>
      </c>
      <c r="D28" s="1"/>
      <c r="F28" s="3">
        <v>1548</v>
      </c>
      <c r="G28" s="3"/>
      <c r="H28">
        <f t="shared" si="2"/>
        <v>47.396000000000001</v>
      </c>
    </row>
    <row r="29" spans="1:8" x14ac:dyDescent="0.75">
      <c r="A29" t="str">
        <f t="shared" si="0"/>
        <v>Thomas2007A</v>
      </c>
      <c r="B29" s="1">
        <f t="shared" si="1"/>
        <v>38669</v>
      </c>
      <c r="C29" s="3" t="s">
        <v>13</v>
      </c>
      <c r="D29" s="1"/>
      <c r="F29" s="3">
        <v>1799</v>
      </c>
      <c r="G29" s="3"/>
      <c r="H29">
        <f t="shared" si="2"/>
        <v>49.195</v>
      </c>
    </row>
    <row r="30" spans="1:8" x14ac:dyDescent="0.75">
      <c r="A30" t="str">
        <f t="shared" si="0"/>
        <v>Thomas2007A</v>
      </c>
      <c r="B30" s="1">
        <f t="shared" si="1"/>
        <v>38670</v>
      </c>
      <c r="C30" s="3" t="s">
        <v>13</v>
      </c>
      <c r="D30" s="1"/>
      <c r="F30" s="3">
        <v>1537</v>
      </c>
      <c r="G30" s="3"/>
      <c r="H30">
        <f t="shared" si="2"/>
        <v>50.731999999999999</v>
      </c>
    </row>
    <row r="31" spans="1:8" x14ac:dyDescent="0.75">
      <c r="A31" t="str">
        <f t="shared" si="0"/>
        <v>Thomas2007A</v>
      </c>
      <c r="B31" s="1">
        <f t="shared" si="1"/>
        <v>38671</v>
      </c>
      <c r="C31" s="3" t="s">
        <v>13</v>
      </c>
      <c r="D31" s="1"/>
      <c r="F31" s="3">
        <v>1810</v>
      </c>
      <c r="G31" s="3"/>
      <c r="H31">
        <f t="shared" si="2"/>
        <v>52.542000000000002</v>
      </c>
    </row>
    <row r="32" spans="1:8" x14ac:dyDescent="0.75">
      <c r="A32" t="str">
        <f t="shared" si="0"/>
        <v>Thomas2007A</v>
      </c>
      <c r="B32" s="1">
        <f t="shared" si="1"/>
        <v>38672</v>
      </c>
      <c r="C32" s="3" t="s">
        <v>13</v>
      </c>
      <c r="D32" s="1"/>
      <c r="F32" s="3">
        <v>1791</v>
      </c>
      <c r="G32" s="3"/>
      <c r="H32">
        <f t="shared" si="2"/>
        <v>54.332999999999998</v>
      </c>
    </row>
    <row r="33" spans="1:9" x14ac:dyDescent="0.75">
      <c r="A33" t="str">
        <f t="shared" si="0"/>
        <v>Thomas2007A</v>
      </c>
      <c r="B33" s="1">
        <f t="shared" si="1"/>
        <v>38673</v>
      </c>
      <c r="C33" s="3" t="s">
        <v>13</v>
      </c>
      <c r="D33" s="1"/>
      <c r="F33" s="3">
        <v>1854</v>
      </c>
      <c r="G33" s="3"/>
      <c r="H33">
        <f t="shared" si="2"/>
        <v>56.186999999999998</v>
      </c>
    </row>
    <row r="34" spans="1:9" x14ac:dyDescent="0.75">
      <c r="A34" t="str">
        <f t="shared" ref="A34:A65" si="3">"Thomas2007"&amp;C34</f>
        <v>Thomas2007A</v>
      </c>
      <c r="B34" s="1">
        <f t="shared" si="1"/>
        <v>38674</v>
      </c>
      <c r="C34" s="3" t="s">
        <v>13</v>
      </c>
      <c r="D34" s="1"/>
      <c r="F34" s="3">
        <v>1820</v>
      </c>
      <c r="G34" s="4">
        <v>55.3</v>
      </c>
      <c r="H34">
        <f t="shared" si="2"/>
        <v>58.006999999999998</v>
      </c>
    </row>
    <row r="35" spans="1:9" x14ac:dyDescent="0.75">
      <c r="A35" t="str">
        <f t="shared" si="3"/>
        <v>Thomas2007A</v>
      </c>
      <c r="B35" s="1">
        <f t="shared" si="1"/>
        <v>38675</v>
      </c>
      <c r="C35" s="3" t="s">
        <v>13</v>
      </c>
      <c r="D35" s="1"/>
      <c r="F35" s="3">
        <v>1752</v>
      </c>
      <c r="G35" s="3"/>
      <c r="H35">
        <f t="shared" si="2"/>
        <v>59.759</v>
      </c>
    </row>
    <row r="36" spans="1:9" x14ac:dyDescent="0.75">
      <c r="A36" t="str">
        <f t="shared" si="3"/>
        <v>Thomas2007A</v>
      </c>
      <c r="B36" s="1">
        <f t="shared" si="1"/>
        <v>38676</v>
      </c>
      <c r="C36" s="3" t="s">
        <v>13</v>
      </c>
      <c r="D36" s="1"/>
      <c r="F36" s="3">
        <v>1643</v>
      </c>
      <c r="G36" s="3"/>
      <c r="H36">
        <f t="shared" si="2"/>
        <v>61.402000000000001</v>
      </c>
    </row>
    <row r="37" spans="1:9" x14ac:dyDescent="0.75">
      <c r="A37" t="str">
        <f t="shared" si="3"/>
        <v>Thomas2007A</v>
      </c>
      <c r="B37" s="1">
        <f t="shared" si="1"/>
        <v>38677</v>
      </c>
      <c r="C37" s="3" t="s">
        <v>13</v>
      </c>
      <c r="D37" s="1"/>
      <c r="F37" s="3">
        <v>1811</v>
      </c>
      <c r="G37" s="3"/>
      <c r="H37">
        <f t="shared" si="2"/>
        <v>63.213000000000001</v>
      </c>
    </row>
    <row r="38" spans="1:9" x14ac:dyDescent="0.75">
      <c r="A38" t="str">
        <f t="shared" si="3"/>
        <v>Thomas2007A</v>
      </c>
      <c r="B38" s="1">
        <f t="shared" si="1"/>
        <v>38678</v>
      </c>
      <c r="C38" s="3" t="s">
        <v>13</v>
      </c>
      <c r="D38" s="1"/>
      <c r="F38" s="3">
        <v>1746</v>
      </c>
      <c r="G38" s="3"/>
      <c r="H38">
        <f t="shared" si="2"/>
        <v>64.959000000000003</v>
      </c>
    </row>
    <row r="39" spans="1:9" x14ac:dyDescent="0.75">
      <c r="A39" t="str">
        <f t="shared" si="3"/>
        <v>Thomas2007A</v>
      </c>
      <c r="B39" s="1">
        <f t="shared" si="1"/>
        <v>38679</v>
      </c>
      <c r="C39" s="3" t="s">
        <v>13</v>
      </c>
      <c r="D39" s="1"/>
      <c r="F39" s="3">
        <v>1660</v>
      </c>
      <c r="G39" s="3"/>
      <c r="H39">
        <f t="shared" si="2"/>
        <v>66.619</v>
      </c>
    </row>
    <row r="40" spans="1:9" x14ac:dyDescent="0.75">
      <c r="A40" t="str">
        <f t="shared" si="3"/>
        <v>Thomas2007A</v>
      </c>
      <c r="B40" s="1">
        <f t="shared" si="1"/>
        <v>38680</v>
      </c>
      <c r="C40" s="3" t="s">
        <v>13</v>
      </c>
      <c r="D40" s="1"/>
      <c r="F40" s="3">
        <v>1873</v>
      </c>
      <c r="G40" s="3"/>
      <c r="H40">
        <f t="shared" si="2"/>
        <v>68.492000000000004</v>
      </c>
    </row>
    <row r="41" spans="1:9" x14ac:dyDescent="0.75">
      <c r="A41" t="str">
        <f t="shared" si="3"/>
        <v>Thomas2007A</v>
      </c>
      <c r="B41" s="1">
        <f t="shared" si="1"/>
        <v>38681</v>
      </c>
      <c r="C41" s="3" t="s">
        <v>13</v>
      </c>
      <c r="D41" s="1"/>
      <c r="F41" s="3">
        <v>1252</v>
      </c>
      <c r="G41" s="4">
        <v>55.7</v>
      </c>
      <c r="H41">
        <f t="shared" si="2"/>
        <v>69.744</v>
      </c>
      <c r="I41" s="2"/>
    </row>
    <row r="42" spans="1:9" x14ac:dyDescent="0.75">
      <c r="A42" t="str">
        <f t="shared" si="3"/>
        <v>Thomas2007A</v>
      </c>
      <c r="B42" s="1">
        <f t="shared" si="1"/>
        <v>38682</v>
      </c>
      <c r="C42" s="3" t="s">
        <v>13</v>
      </c>
      <c r="D42" s="1"/>
      <c r="F42" s="3">
        <v>1268</v>
      </c>
      <c r="G42" s="3"/>
      <c r="H42">
        <f t="shared" si="2"/>
        <v>71.012</v>
      </c>
      <c r="I42" s="2"/>
    </row>
    <row r="43" spans="1:9" x14ac:dyDescent="0.75">
      <c r="A43" t="str">
        <f t="shared" si="3"/>
        <v>Thomas2007A</v>
      </c>
      <c r="B43" s="1">
        <f t="shared" si="1"/>
        <v>38683</v>
      </c>
      <c r="C43" s="3" t="s">
        <v>13</v>
      </c>
      <c r="D43" s="1"/>
      <c r="F43" s="3">
        <v>1538</v>
      </c>
      <c r="G43" s="3"/>
      <c r="H43">
        <f t="shared" si="2"/>
        <v>72.55</v>
      </c>
      <c r="I43" s="2"/>
    </row>
    <row r="44" spans="1:9" x14ac:dyDescent="0.75">
      <c r="A44" t="str">
        <f t="shared" si="3"/>
        <v>Thomas2007A</v>
      </c>
      <c r="B44" s="1">
        <f t="shared" si="1"/>
        <v>38684</v>
      </c>
      <c r="C44" s="3" t="s">
        <v>13</v>
      </c>
      <c r="D44" s="1"/>
      <c r="F44" s="3">
        <v>1445</v>
      </c>
      <c r="G44" s="3"/>
      <c r="H44">
        <f t="shared" si="2"/>
        <v>73.99499999999999</v>
      </c>
      <c r="I44" s="2"/>
    </row>
    <row r="45" spans="1:9" x14ac:dyDescent="0.75">
      <c r="A45" t="str">
        <f t="shared" si="3"/>
        <v>Thomas2007A</v>
      </c>
      <c r="B45" s="1">
        <f t="shared" si="1"/>
        <v>38685</v>
      </c>
      <c r="C45" s="3" t="s">
        <v>13</v>
      </c>
      <c r="D45" s="1"/>
      <c r="F45" s="3">
        <v>1305</v>
      </c>
      <c r="G45" s="3"/>
      <c r="H45">
        <f t="shared" si="2"/>
        <v>75.3</v>
      </c>
      <c r="I45" s="2"/>
    </row>
    <row r="46" spans="1:9" x14ac:dyDescent="0.75">
      <c r="A46" t="str">
        <f t="shared" si="3"/>
        <v>Thomas2007A</v>
      </c>
      <c r="B46" s="1">
        <f t="shared" si="1"/>
        <v>38686</v>
      </c>
      <c r="C46" s="3" t="s">
        <v>13</v>
      </c>
      <c r="D46" s="1"/>
      <c r="F46" s="3">
        <v>1334</v>
      </c>
      <c r="G46" s="3"/>
      <c r="H46">
        <f t="shared" si="2"/>
        <v>76.634</v>
      </c>
      <c r="I46" s="2"/>
    </row>
    <row r="47" spans="1:9" x14ac:dyDescent="0.75">
      <c r="A47" t="str">
        <f t="shared" si="3"/>
        <v>Thomas2007A</v>
      </c>
      <c r="B47" s="1">
        <f t="shared" si="1"/>
        <v>38687</v>
      </c>
      <c r="C47" s="3" t="s">
        <v>13</v>
      </c>
      <c r="D47" s="1"/>
      <c r="F47" s="3">
        <v>1330</v>
      </c>
      <c r="G47" s="3"/>
      <c r="H47">
        <f t="shared" si="2"/>
        <v>77.963999999999999</v>
      </c>
      <c r="I47" s="2"/>
    </row>
    <row r="48" spans="1:9" x14ac:dyDescent="0.75">
      <c r="A48" t="str">
        <f t="shared" si="3"/>
        <v>Thomas2007A</v>
      </c>
      <c r="B48" s="1">
        <f t="shared" si="1"/>
        <v>38688</v>
      </c>
      <c r="C48" s="3" t="s">
        <v>13</v>
      </c>
      <c r="D48" s="1"/>
      <c r="F48" s="3">
        <v>1269</v>
      </c>
      <c r="G48" s="4">
        <v>54.4</v>
      </c>
      <c r="H48">
        <f t="shared" si="2"/>
        <v>79.233000000000004</v>
      </c>
      <c r="I48" s="2"/>
    </row>
    <row r="49" spans="1:8" x14ac:dyDescent="0.75">
      <c r="A49" t="str">
        <f t="shared" si="3"/>
        <v>Thomas2007E</v>
      </c>
      <c r="B49" s="1">
        <v>38642</v>
      </c>
      <c r="C49" s="3" t="s">
        <v>14</v>
      </c>
      <c r="D49" s="1"/>
      <c r="F49" s="3">
        <v>2073</v>
      </c>
      <c r="G49" s="4"/>
      <c r="H49">
        <f>F49/1000</f>
        <v>2.073</v>
      </c>
    </row>
    <row r="50" spans="1:8" x14ac:dyDescent="0.75">
      <c r="A50" t="str">
        <f t="shared" si="3"/>
        <v>Thomas2007E</v>
      </c>
      <c r="B50" s="1">
        <f t="shared" si="1"/>
        <v>38643</v>
      </c>
      <c r="C50" s="3" t="s">
        <v>14</v>
      </c>
      <c r="F50" s="3">
        <v>2071</v>
      </c>
      <c r="G50" s="3"/>
      <c r="H50">
        <f>H49+F50/1000</f>
        <v>4.1440000000000001</v>
      </c>
    </row>
    <row r="51" spans="1:8" x14ac:dyDescent="0.75">
      <c r="A51" t="str">
        <f t="shared" si="3"/>
        <v>Thomas2007E</v>
      </c>
      <c r="B51" s="1">
        <f t="shared" si="1"/>
        <v>38644</v>
      </c>
      <c r="C51" s="3" t="s">
        <v>14</v>
      </c>
      <c r="F51" s="3">
        <v>2060</v>
      </c>
      <c r="G51" s="3"/>
      <c r="H51">
        <f t="shared" ref="H51:H95" si="4">H50+F51/1000</f>
        <v>6.2040000000000006</v>
      </c>
    </row>
    <row r="52" spans="1:8" x14ac:dyDescent="0.75">
      <c r="A52" t="str">
        <f t="shared" si="3"/>
        <v>Thomas2007E</v>
      </c>
      <c r="B52" s="1">
        <f t="shared" si="1"/>
        <v>38645</v>
      </c>
      <c r="C52" s="3" t="s">
        <v>14</v>
      </c>
      <c r="F52" s="3">
        <v>2172</v>
      </c>
      <c r="G52" s="3"/>
      <c r="H52">
        <f t="shared" si="4"/>
        <v>8.3760000000000012</v>
      </c>
    </row>
    <row r="53" spans="1:8" x14ac:dyDescent="0.75">
      <c r="A53" t="str">
        <f t="shared" si="3"/>
        <v>Thomas2007E</v>
      </c>
      <c r="B53" s="1">
        <f t="shared" si="1"/>
        <v>38646</v>
      </c>
      <c r="C53" s="3" t="s">
        <v>14</v>
      </c>
      <c r="F53" s="3">
        <v>2015</v>
      </c>
      <c r="G53" s="4">
        <v>53.3</v>
      </c>
      <c r="H53">
        <f t="shared" si="4"/>
        <v>10.391000000000002</v>
      </c>
    </row>
    <row r="54" spans="1:8" x14ac:dyDescent="0.75">
      <c r="A54" t="str">
        <f t="shared" si="3"/>
        <v>Thomas2007E</v>
      </c>
      <c r="B54" s="1">
        <f t="shared" si="1"/>
        <v>38647</v>
      </c>
      <c r="C54" s="3" t="s">
        <v>14</v>
      </c>
      <c r="F54" s="3">
        <v>1914</v>
      </c>
      <c r="G54" s="3"/>
      <c r="H54">
        <f t="shared" si="4"/>
        <v>12.305000000000001</v>
      </c>
    </row>
    <row r="55" spans="1:8" x14ac:dyDescent="0.75">
      <c r="A55" t="str">
        <f t="shared" si="3"/>
        <v>Thomas2007E</v>
      </c>
      <c r="B55" s="1">
        <f t="shared" si="1"/>
        <v>38648</v>
      </c>
      <c r="C55" s="3" t="s">
        <v>14</v>
      </c>
      <c r="F55" s="3">
        <v>2119</v>
      </c>
      <c r="G55" s="3"/>
      <c r="H55">
        <f t="shared" si="4"/>
        <v>14.424000000000001</v>
      </c>
    </row>
    <row r="56" spans="1:8" x14ac:dyDescent="0.75">
      <c r="A56" t="str">
        <f t="shared" si="3"/>
        <v>Thomas2007E</v>
      </c>
      <c r="B56" s="1">
        <f t="shared" si="1"/>
        <v>38649</v>
      </c>
      <c r="C56" s="3" t="s">
        <v>14</v>
      </c>
      <c r="F56" s="3">
        <v>2083</v>
      </c>
      <c r="G56" s="3"/>
      <c r="H56">
        <f t="shared" si="4"/>
        <v>16.507000000000001</v>
      </c>
    </row>
    <row r="57" spans="1:8" x14ac:dyDescent="0.75">
      <c r="A57" t="str">
        <f t="shared" si="3"/>
        <v>Thomas2007E</v>
      </c>
      <c r="B57" s="1">
        <f t="shared" si="1"/>
        <v>38650</v>
      </c>
      <c r="C57" s="3" t="s">
        <v>14</v>
      </c>
      <c r="F57" s="3">
        <v>1910</v>
      </c>
      <c r="G57" s="3"/>
      <c r="H57">
        <f t="shared" si="4"/>
        <v>18.417000000000002</v>
      </c>
    </row>
    <row r="58" spans="1:8" x14ac:dyDescent="0.75">
      <c r="A58" t="str">
        <f t="shared" si="3"/>
        <v>Thomas2007E</v>
      </c>
      <c r="B58" s="1">
        <f t="shared" si="1"/>
        <v>38651</v>
      </c>
      <c r="C58" s="3" t="s">
        <v>14</v>
      </c>
      <c r="F58" s="3">
        <v>2054</v>
      </c>
      <c r="G58" s="3"/>
      <c r="H58">
        <f t="shared" si="4"/>
        <v>20.471</v>
      </c>
    </row>
    <row r="59" spans="1:8" x14ac:dyDescent="0.75">
      <c r="A59" t="str">
        <f t="shared" si="3"/>
        <v>Thomas2007E</v>
      </c>
      <c r="B59" s="1">
        <f t="shared" si="1"/>
        <v>38652</v>
      </c>
      <c r="C59" s="3" t="s">
        <v>14</v>
      </c>
      <c r="F59" s="3">
        <v>2013</v>
      </c>
      <c r="G59" s="3"/>
      <c r="H59">
        <f t="shared" si="4"/>
        <v>22.484000000000002</v>
      </c>
    </row>
    <row r="60" spans="1:8" x14ac:dyDescent="0.75">
      <c r="A60" t="str">
        <f t="shared" si="3"/>
        <v>Thomas2007E</v>
      </c>
      <c r="B60" s="1">
        <f t="shared" si="1"/>
        <v>38653</v>
      </c>
      <c r="C60" s="3" t="s">
        <v>14</v>
      </c>
      <c r="F60" s="3">
        <v>1864</v>
      </c>
      <c r="G60" s="4">
        <v>54.1</v>
      </c>
      <c r="H60">
        <f t="shared" si="4"/>
        <v>24.348000000000003</v>
      </c>
    </row>
    <row r="61" spans="1:8" x14ac:dyDescent="0.75">
      <c r="A61" t="str">
        <f t="shared" si="3"/>
        <v>Thomas2007E</v>
      </c>
      <c r="B61" s="1">
        <f t="shared" si="1"/>
        <v>38654</v>
      </c>
      <c r="C61" s="3" t="s">
        <v>14</v>
      </c>
      <c r="F61" s="3">
        <v>2048</v>
      </c>
      <c r="G61" s="3"/>
      <c r="H61">
        <f t="shared" si="4"/>
        <v>26.396000000000001</v>
      </c>
    </row>
    <row r="62" spans="1:8" x14ac:dyDescent="0.75">
      <c r="A62" t="str">
        <f t="shared" si="3"/>
        <v>Thomas2007E</v>
      </c>
      <c r="B62" s="1">
        <f t="shared" si="1"/>
        <v>38655</v>
      </c>
      <c r="C62" s="3" t="s">
        <v>14</v>
      </c>
      <c r="F62" s="3">
        <v>2069</v>
      </c>
      <c r="G62" s="3"/>
      <c r="H62">
        <f t="shared" si="4"/>
        <v>28.465</v>
      </c>
    </row>
    <row r="63" spans="1:8" x14ac:dyDescent="0.75">
      <c r="A63" t="str">
        <f t="shared" si="3"/>
        <v>Thomas2007E</v>
      </c>
      <c r="B63" s="1">
        <f t="shared" si="1"/>
        <v>38656</v>
      </c>
      <c r="C63" s="3" t="s">
        <v>14</v>
      </c>
      <c r="F63" s="3">
        <v>2050</v>
      </c>
      <c r="G63" s="3"/>
      <c r="H63">
        <f t="shared" si="4"/>
        <v>30.515000000000001</v>
      </c>
    </row>
    <row r="64" spans="1:8" x14ac:dyDescent="0.75">
      <c r="A64" t="str">
        <f t="shared" si="3"/>
        <v>Thomas2007E</v>
      </c>
      <c r="B64" s="1">
        <f t="shared" ref="B64:B123" si="5">B63+1</f>
        <v>38657</v>
      </c>
      <c r="C64" s="3" t="s">
        <v>14</v>
      </c>
      <c r="F64" s="3">
        <v>1638</v>
      </c>
      <c r="G64" s="3"/>
      <c r="H64">
        <f t="shared" si="4"/>
        <v>32.152999999999999</v>
      </c>
    </row>
    <row r="65" spans="1:8" x14ac:dyDescent="0.75">
      <c r="A65" t="str">
        <f t="shared" si="3"/>
        <v>Thomas2007E</v>
      </c>
      <c r="B65" s="1">
        <f t="shared" si="5"/>
        <v>38658</v>
      </c>
      <c r="C65" s="3" t="s">
        <v>14</v>
      </c>
      <c r="F65" s="3">
        <v>2086</v>
      </c>
      <c r="G65" s="3"/>
      <c r="H65">
        <f t="shared" si="4"/>
        <v>34.238999999999997</v>
      </c>
    </row>
    <row r="66" spans="1:8" x14ac:dyDescent="0.75">
      <c r="A66" t="str">
        <f t="shared" ref="A66:A97" si="6">"Thomas2007"&amp;C66</f>
        <v>Thomas2007E</v>
      </c>
      <c r="B66" s="1">
        <f t="shared" si="5"/>
        <v>38659</v>
      </c>
      <c r="C66" s="3" t="s">
        <v>14</v>
      </c>
      <c r="F66" s="3">
        <v>1844</v>
      </c>
      <c r="G66" s="3"/>
      <c r="H66">
        <f t="shared" si="4"/>
        <v>36.082999999999998</v>
      </c>
    </row>
    <row r="67" spans="1:8" x14ac:dyDescent="0.75">
      <c r="A67" t="str">
        <f t="shared" si="6"/>
        <v>Thomas2007E</v>
      </c>
      <c r="B67" s="1">
        <f t="shared" si="5"/>
        <v>38660</v>
      </c>
      <c r="C67" s="3" t="s">
        <v>14</v>
      </c>
      <c r="F67" s="3">
        <v>2086</v>
      </c>
      <c r="G67" s="4">
        <v>54.8</v>
      </c>
      <c r="H67">
        <f t="shared" si="4"/>
        <v>38.168999999999997</v>
      </c>
    </row>
    <row r="68" spans="1:8" x14ac:dyDescent="0.75">
      <c r="A68" t="str">
        <f t="shared" si="6"/>
        <v>Thomas2007E</v>
      </c>
      <c r="B68" s="1">
        <f t="shared" si="5"/>
        <v>38661</v>
      </c>
      <c r="C68" s="3" t="s">
        <v>14</v>
      </c>
      <c r="F68" s="3">
        <v>1877</v>
      </c>
      <c r="G68" s="3"/>
      <c r="H68">
        <f t="shared" si="4"/>
        <v>40.045999999999999</v>
      </c>
    </row>
    <row r="69" spans="1:8" x14ac:dyDescent="0.75">
      <c r="A69" t="str">
        <f t="shared" si="6"/>
        <v>Thomas2007E</v>
      </c>
      <c r="B69" s="1">
        <f t="shared" si="5"/>
        <v>38662</v>
      </c>
      <c r="C69" s="3" t="s">
        <v>14</v>
      </c>
      <c r="F69" s="3">
        <v>2158</v>
      </c>
      <c r="G69" s="3"/>
      <c r="H69">
        <f t="shared" si="4"/>
        <v>42.204000000000001</v>
      </c>
    </row>
    <row r="70" spans="1:8" x14ac:dyDescent="0.75">
      <c r="A70" t="str">
        <f t="shared" si="6"/>
        <v>Thomas2007E</v>
      </c>
      <c r="B70" s="1">
        <f t="shared" si="5"/>
        <v>38663</v>
      </c>
      <c r="C70" s="3" t="s">
        <v>14</v>
      </c>
      <c r="F70" s="3">
        <v>2056</v>
      </c>
      <c r="G70" s="3"/>
      <c r="H70">
        <f t="shared" si="4"/>
        <v>44.26</v>
      </c>
    </row>
    <row r="71" spans="1:8" x14ac:dyDescent="0.75">
      <c r="A71" t="str">
        <f t="shared" si="6"/>
        <v>Thomas2007E</v>
      </c>
      <c r="B71" s="1">
        <f t="shared" si="5"/>
        <v>38664</v>
      </c>
      <c r="C71" s="3" t="s">
        <v>14</v>
      </c>
      <c r="F71" s="3">
        <v>1892</v>
      </c>
      <c r="G71" s="3"/>
      <c r="H71">
        <f t="shared" si="4"/>
        <v>46.152000000000001</v>
      </c>
    </row>
    <row r="72" spans="1:8" x14ac:dyDescent="0.75">
      <c r="A72" t="str">
        <f t="shared" si="6"/>
        <v>Thomas2007E</v>
      </c>
      <c r="B72" s="1">
        <f t="shared" si="5"/>
        <v>38665</v>
      </c>
      <c r="C72" s="3" t="s">
        <v>14</v>
      </c>
      <c r="F72" s="3">
        <v>2016</v>
      </c>
      <c r="G72" s="3"/>
      <c r="H72">
        <f t="shared" si="4"/>
        <v>48.167999999999999</v>
      </c>
    </row>
    <row r="73" spans="1:8" x14ac:dyDescent="0.75">
      <c r="A73" t="str">
        <f t="shared" si="6"/>
        <v>Thomas2007E</v>
      </c>
      <c r="B73" s="1">
        <f t="shared" si="5"/>
        <v>38666</v>
      </c>
      <c r="C73" s="3" t="s">
        <v>14</v>
      </c>
      <c r="F73" s="3">
        <v>2114</v>
      </c>
      <c r="G73" s="3"/>
      <c r="H73">
        <f t="shared" si="4"/>
        <v>50.281999999999996</v>
      </c>
    </row>
    <row r="74" spans="1:8" x14ac:dyDescent="0.75">
      <c r="A74" t="str">
        <f t="shared" si="6"/>
        <v>Thomas2007E</v>
      </c>
      <c r="B74" s="1">
        <f t="shared" si="5"/>
        <v>38667</v>
      </c>
      <c r="C74" s="3" t="s">
        <v>14</v>
      </c>
      <c r="F74" s="3">
        <v>2023</v>
      </c>
      <c r="G74" s="4">
        <v>55.8</v>
      </c>
      <c r="H74">
        <f t="shared" si="4"/>
        <v>52.305</v>
      </c>
    </row>
    <row r="75" spans="1:8" x14ac:dyDescent="0.75">
      <c r="A75" t="str">
        <f t="shared" si="6"/>
        <v>Thomas2007E</v>
      </c>
      <c r="B75" s="1">
        <f t="shared" si="5"/>
        <v>38668</v>
      </c>
      <c r="C75" s="3" t="s">
        <v>14</v>
      </c>
      <c r="F75" s="3">
        <v>2083</v>
      </c>
      <c r="G75" s="3"/>
      <c r="H75">
        <f t="shared" si="4"/>
        <v>54.387999999999998</v>
      </c>
    </row>
    <row r="76" spans="1:8" x14ac:dyDescent="0.75">
      <c r="A76" t="str">
        <f t="shared" si="6"/>
        <v>Thomas2007E</v>
      </c>
      <c r="B76" s="1">
        <f t="shared" si="5"/>
        <v>38669</v>
      </c>
      <c r="C76" s="3" t="s">
        <v>14</v>
      </c>
      <c r="F76" s="3">
        <v>2003</v>
      </c>
      <c r="G76" s="3"/>
      <c r="H76">
        <f t="shared" si="4"/>
        <v>56.390999999999998</v>
      </c>
    </row>
    <row r="77" spans="1:8" x14ac:dyDescent="0.75">
      <c r="A77" t="str">
        <f t="shared" si="6"/>
        <v>Thomas2007E</v>
      </c>
      <c r="B77" s="1">
        <f t="shared" si="5"/>
        <v>38670</v>
      </c>
      <c r="C77" s="3" t="s">
        <v>14</v>
      </c>
      <c r="F77" s="3">
        <v>1941</v>
      </c>
      <c r="G77" s="3"/>
      <c r="H77">
        <f t="shared" si="4"/>
        <v>58.332000000000001</v>
      </c>
    </row>
    <row r="78" spans="1:8" x14ac:dyDescent="0.75">
      <c r="A78" t="str">
        <f t="shared" si="6"/>
        <v>Thomas2007E</v>
      </c>
      <c r="B78" s="1">
        <f t="shared" si="5"/>
        <v>38671</v>
      </c>
      <c r="C78" s="3" t="s">
        <v>14</v>
      </c>
      <c r="F78" s="3">
        <v>1896</v>
      </c>
      <c r="G78" s="3"/>
      <c r="H78">
        <f t="shared" si="4"/>
        <v>60.228000000000002</v>
      </c>
    </row>
    <row r="79" spans="1:8" x14ac:dyDescent="0.75">
      <c r="A79" t="str">
        <f t="shared" si="6"/>
        <v>Thomas2007E</v>
      </c>
      <c r="B79" s="1">
        <f t="shared" si="5"/>
        <v>38672</v>
      </c>
      <c r="C79" s="3" t="s">
        <v>14</v>
      </c>
      <c r="F79" s="3">
        <v>1960</v>
      </c>
      <c r="G79" s="3"/>
      <c r="H79">
        <f t="shared" si="4"/>
        <v>62.188000000000002</v>
      </c>
    </row>
    <row r="80" spans="1:8" x14ac:dyDescent="0.75">
      <c r="A80" t="str">
        <f t="shared" si="6"/>
        <v>Thomas2007E</v>
      </c>
      <c r="B80" s="1">
        <f t="shared" si="5"/>
        <v>38673</v>
      </c>
      <c r="C80" s="3" t="s">
        <v>14</v>
      </c>
      <c r="F80" s="3">
        <v>2027</v>
      </c>
      <c r="G80" s="3"/>
      <c r="H80">
        <f t="shared" si="4"/>
        <v>64.215000000000003</v>
      </c>
    </row>
    <row r="81" spans="1:8" x14ac:dyDescent="0.75">
      <c r="A81" t="str">
        <f t="shared" si="6"/>
        <v>Thomas2007E</v>
      </c>
      <c r="B81" s="1">
        <f t="shared" si="5"/>
        <v>38674</v>
      </c>
      <c r="C81" s="3" t="s">
        <v>14</v>
      </c>
      <c r="F81" s="3">
        <v>1839</v>
      </c>
      <c r="G81" s="4">
        <v>56.5</v>
      </c>
      <c r="H81">
        <f t="shared" si="4"/>
        <v>66.054000000000002</v>
      </c>
    </row>
    <row r="82" spans="1:8" x14ac:dyDescent="0.75">
      <c r="A82" t="str">
        <f t="shared" si="6"/>
        <v>Thomas2007E</v>
      </c>
      <c r="B82" s="1">
        <f t="shared" si="5"/>
        <v>38675</v>
      </c>
      <c r="C82" s="3" t="s">
        <v>14</v>
      </c>
      <c r="F82" s="3">
        <v>2219</v>
      </c>
      <c r="G82" s="3"/>
      <c r="H82">
        <f t="shared" si="4"/>
        <v>68.272999999999996</v>
      </c>
    </row>
    <row r="83" spans="1:8" x14ac:dyDescent="0.75">
      <c r="A83" t="str">
        <f t="shared" si="6"/>
        <v>Thomas2007E</v>
      </c>
      <c r="B83" s="1">
        <f t="shared" si="5"/>
        <v>38676</v>
      </c>
      <c r="C83" s="3" t="s">
        <v>14</v>
      </c>
      <c r="F83" s="3">
        <v>1937</v>
      </c>
      <c r="G83" s="3"/>
      <c r="H83">
        <f t="shared" si="4"/>
        <v>70.209999999999994</v>
      </c>
    </row>
    <row r="84" spans="1:8" x14ac:dyDescent="0.75">
      <c r="A84" t="str">
        <f t="shared" si="6"/>
        <v>Thomas2007E</v>
      </c>
      <c r="B84" s="1">
        <f t="shared" si="5"/>
        <v>38677</v>
      </c>
      <c r="C84" s="3" t="s">
        <v>14</v>
      </c>
      <c r="F84" s="3">
        <v>2022</v>
      </c>
      <c r="G84" s="3"/>
      <c r="H84">
        <f t="shared" si="4"/>
        <v>72.231999999999999</v>
      </c>
    </row>
    <row r="85" spans="1:8" x14ac:dyDescent="0.75">
      <c r="A85" t="str">
        <f t="shared" si="6"/>
        <v>Thomas2007E</v>
      </c>
      <c r="B85" s="1">
        <f t="shared" si="5"/>
        <v>38678</v>
      </c>
      <c r="C85" s="3" t="s">
        <v>14</v>
      </c>
      <c r="F85" s="3">
        <v>1919</v>
      </c>
      <c r="G85" s="3"/>
      <c r="H85">
        <f t="shared" si="4"/>
        <v>74.150999999999996</v>
      </c>
    </row>
    <row r="86" spans="1:8" x14ac:dyDescent="0.75">
      <c r="A86" t="str">
        <f t="shared" si="6"/>
        <v>Thomas2007E</v>
      </c>
      <c r="B86" s="1">
        <f t="shared" si="5"/>
        <v>38679</v>
      </c>
      <c r="C86" s="3" t="s">
        <v>14</v>
      </c>
      <c r="F86" s="3">
        <v>1922</v>
      </c>
      <c r="G86" s="3"/>
      <c r="H86">
        <f t="shared" si="4"/>
        <v>76.072999999999993</v>
      </c>
    </row>
    <row r="87" spans="1:8" x14ac:dyDescent="0.75">
      <c r="A87" t="str">
        <f t="shared" si="6"/>
        <v>Thomas2007E</v>
      </c>
      <c r="B87" s="1">
        <f t="shared" si="5"/>
        <v>38680</v>
      </c>
      <c r="C87" s="3" t="s">
        <v>14</v>
      </c>
      <c r="F87" s="3">
        <v>1931</v>
      </c>
      <c r="G87" s="3"/>
      <c r="H87">
        <f t="shared" si="4"/>
        <v>78.003999999999991</v>
      </c>
    </row>
    <row r="88" spans="1:8" x14ac:dyDescent="0.75">
      <c r="A88" t="str">
        <f t="shared" si="6"/>
        <v>Thomas2007E</v>
      </c>
      <c r="B88" s="1">
        <f t="shared" si="5"/>
        <v>38681</v>
      </c>
      <c r="C88" s="3" t="s">
        <v>14</v>
      </c>
      <c r="F88" s="3">
        <v>1405</v>
      </c>
      <c r="G88" s="4">
        <v>57.6</v>
      </c>
      <c r="H88">
        <f t="shared" si="4"/>
        <v>79.408999999999992</v>
      </c>
    </row>
    <row r="89" spans="1:8" x14ac:dyDescent="0.75">
      <c r="A89" t="str">
        <f t="shared" si="6"/>
        <v>Thomas2007E</v>
      </c>
      <c r="B89" s="1">
        <f t="shared" si="5"/>
        <v>38682</v>
      </c>
      <c r="C89" s="3" t="s">
        <v>14</v>
      </c>
      <c r="F89" s="3">
        <v>1486</v>
      </c>
      <c r="G89" s="3"/>
      <c r="H89">
        <f t="shared" si="4"/>
        <v>80.894999999999996</v>
      </c>
    </row>
    <row r="90" spans="1:8" x14ac:dyDescent="0.75">
      <c r="A90" t="str">
        <f t="shared" si="6"/>
        <v>Thomas2007E</v>
      </c>
      <c r="B90" s="1">
        <f t="shared" si="5"/>
        <v>38683</v>
      </c>
      <c r="C90" s="3" t="s">
        <v>14</v>
      </c>
      <c r="F90" s="3">
        <v>1008</v>
      </c>
      <c r="G90" s="3"/>
      <c r="H90">
        <f t="shared" si="4"/>
        <v>81.902999999999992</v>
      </c>
    </row>
    <row r="91" spans="1:8" x14ac:dyDescent="0.75">
      <c r="A91" t="str">
        <f t="shared" si="6"/>
        <v>Thomas2007E</v>
      </c>
      <c r="B91" s="1">
        <f t="shared" si="5"/>
        <v>38684</v>
      </c>
      <c r="C91" s="3" t="s">
        <v>14</v>
      </c>
      <c r="F91" s="3">
        <v>1169</v>
      </c>
      <c r="G91" s="3"/>
      <c r="H91">
        <f t="shared" si="4"/>
        <v>83.071999999999989</v>
      </c>
    </row>
    <row r="92" spans="1:8" x14ac:dyDescent="0.75">
      <c r="A92" t="str">
        <f t="shared" si="6"/>
        <v>Thomas2007E</v>
      </c>
      <c r="B92" s="1">
        <f t="shared" si="5"/>
        <v>38685</v>
      </c>
      <c r="C92" s="3" t="s">
        <v>14</v>
      </c>
      <c r="F92" s="3">
        <v>1423</v>
      </c>
      <c r="G92" s="3"/>
      <c r="H92">
        <f t="shared" si="4"/>
        <v>84.49499999999999</v>
      </c>
    </row>
    <row r="93" spans="1:8" x14ac:dyDescent="0.75">
      <c r="A93" t="str">
        <f t="shared" si="6"/>
        <v>Thomas2007E</v>
      </c>
      <c r="B93" s="1">
        <f t="shared" si="5"/>
        <v>38686</v>
      </c>
      <c r="C93" s="3" t="s">
        <v>14</v>
      </c>
      <c r="F93" s="3">
        <v>1346</v>
      </c>
      <c r="G93" s="3"/>
      <c r="H93">
        <f t="shared" si="4"/>
        <v>85.840999999999994</v>
      </c>
    </row>
    <row r="94" spans="1:8" x14ac:dyDescent="0.75">
      <c r="A94" t="str">
        <f t="shared" si="6"/>
        <v>Thomas2007E</v>
      </c>
      <c r="B94" s="1">
        <f t="shared" si="5"/>
        <v>38687</v>
      </c>
      <c r="C94" s="3" t="s">
        <v>14</v>
      </c>
      <c r="F94" s="3">
        <v>1355</v>
      </c>
      <c r="G94" s="3"/>
      <c r="H94">
        <f t="shared" si="4"/>
        <v>87.195999999999998</v>
      </c>
    </row>
    <row r="95" spans="1:8" x14ac:dyDescent="0.75">
      <c r="A95" t="str">
        <f t="shared" si="6"/>
        <v>Thomas2007E</v>
      </c>
      <c r="B95" s="1">
        <f t="shared" si="5"/>
        <v>38688</v>
      </c>
      <c r="C95" s="3" t="s">
        <v>14</v>
      </c>
      <c r="F95" s="3">
        <v>1262</v>
      </c>
      <c r="G95" s="4">
        <v>52.2</v>
      </c>
      <c r="H95">
        <f t="shared" si="4"/>
        <v>88.457999999999998</v>
      </c>
    </row>
    <row r="96" spans="1:8" x14ac:dyDescent="0.75">
      <c r="A96" t="str">
        <f t="shared" si="6"/>
        <v>Thomas2007I</v>
      </c>
      <c r="B96" s="1">
        <v>38642</v>
      </c>
      <c r="C96" s="3" t="s">
        <v>15</v>
      </c>
      <c r="F96" s="3">
        <v>2296</v>
      </c>
      <c r="G96" s="4"/>
      <c r="H96">
        <f>F96/1000</f>
        <v>2.2959999999999998</v>
      </c>
    </row>
    <row r="97" spans="1:8" x14ac:dyDescent="0.75">
      <c r="A97" t="str">
        <f t="shared" si="6"/>
        <v>Thomas2007I</v>
      </c>
      <c r="B97" s="1">
        <f t="shared" si="5"/>
        <v>38643</v>
      </c>
      <c r="C97" s="3" t="s">
        <v>15</v>
      </c>
      <c r="F97" s="3">
        <v>2028</v>
      </c>
      <c r="G97" s="3"/>
      <c r="H97">
        <f>H96+F97/1000</f>
        <v>4.3239999999999998</v>
      </c>
    </row>
    <row r="98" spans="1:8" x14ac:dyDescent="0.75">
      <c r="A98" t="str">
        <f t="shared" ref="A98:A129" si="7">"Thomas2007"&amp;C98</f>
        <v>Thomas2007I</v>
      </c>
      <c r="B98" s="1">
        <f t="shared" si="5"/>
        <v>38644</v>
      </c>
      <c r="C98" s="3" t="s">
        <v>15</v>
      </c>
      <c r="F98" s="3">
        <v>2108</v>
      </c>
      <c r="G98" s="3"/>
      <c r="H98">
        <f t="shared" ref="H98:H142" si="8">H97+F98/1000</f>
        <v>6.4320000000000004</v>
      </c>
    </row>
    <row r="99" spans="1:8" x14ac:dyDescent="0.75">
      <c r="A99" t="str">
        <f t="shared" si="7"/>
        <v>Thomas2007I</v>
      </c>
      <c r="B99" s="1">
        <f t="shared" si="5"/>
        <v>38645</v>
      </c>
      <c r="C99" s="3" t="s">
        <v>15</v>
      </c>
      <c r="F99" s="3">
        <v>2395</v>
      </c>
      <c r="G99" s="3"/>
      <c r="H99">
        <f t="shared" si="8"/>
        <v>8.827</v>
      </c>
    </row>
    <row r="100" spans="1:8" x14ac:dyDescent="0.75">
      <c r="A100" t="str">
        <f t="shared" si="7"/>
        <v>Thomas2007I</v>
      </c>
      <c r="B100" s="1">
        <f t="shared" si="5"/>
        <v>38646</v>
      </c>
      <c r="C100" s="3" t="s">
        <v>15</v>
      </c>
      <c r="F100" s="3">
        <v>2156</v>
      </c>
      <c r="G100" s="4">
        <v>55.6</v>
      </c>
      <c r="H100">
        <f t="shared" si="8"/>
        <v>10.983000000000001</v>
      </c>
    </row>
    <row r="101" spans="1:8" x14ac:dyDescent="0.75">
      <c r="A101" t="str">
        <f t="shared" si="7"/>
        <v>Thomas2007I</v>
      </c>
      <c r="B101" s="1">
        <f t="shared" si="5"/>
        <v>38647</v>
      </c>
      <c r="C101" s="3" t="s">
        <v>15</v>
      </c>
      <c r="F101" s="3">
        <v>2018</v>
      </c>
      <c r="G101" s="3"/>
      <c r="H101">
        <f t="shared" si="8"/>
        <v>13.001000000000001</v>
      </c>
    </row>
    <row r="102" spans="1:8" x14ac:dyDescent="0.75">
      <c r="A102" t="str">
        <f t="shared" si="7"/>
        <v>Thomas2007I</v>
      </c>
      <c r="B102" s="1">
        <f t="shared" si="5"/>
        <v>38648</v>
      </c>
      <c r="C102" s="3" t="s">
        <v>15</v>
      </c>
      <c r="F102" s="3">
        <v>1752</v>
      </c>
      <c r="G102" s="3"/>
      <c r="H102">
        <f t="shared" si="8"/>
        <v>14.753000000000002</v>
      </c>
    </row>
    <row r="103" spans="1:8" x14ac:dyDescent="0.75">
      <c r="A103" t="str">
        <f t="shared" si="7"/>
        <v>Thomas2007I</v>
      </c>
      <c r="B103" s="1">
        <f t="shared" si="5"/>
        <v>38649</v>
      </c>
      <c r="C103" s="3" t="s">
        <v>15</v>
      </c>
      <c r="F103" s="3">
        <v>2079</v>
      </c>
      <c r="G103" s="3"/>
      <c r="H103">
        <f t="shared" si="8"/>
        <v>16.832000000000001</v>
      </c>
    </row>
    <row r="104" spans="1:8" x14ac:dyDescent="0.75">
      <c r="A104" t="str">
        <f t="shared" si="7"/>
        <v>Thomas2007I</v>
      </c>
      <c r="B104" s="1">
        <f t="shared" si="5"/>
        <v>38650</v>
      </c>
      <c r="C104" s="3" t="s">
        <v>15</v>
      </c>
      <c r="F104" s="3">
        <v>1894</v>
      </c>
      <c r="G104" s="3"/>
      <c r="H104">
        <f t="shared" si="8"/>
        <v>18.725999999999999</v>
      </c>
    </row>
    <row r="105" spans="1:8" x14ac:dyDescent="0.75">
      <c r="A105" t="str">
        <f t="shared" si="7"/>
        <v>Thomas2007I</v>
      </c>
      <c r="B105" s="1">
        <f t="shared" si="5"/>
        <v>38651</v>
      </c>
      <c r="C105" s="3" t="s">
        <v>15</v>
      </c>
      <c r="F105" s="3">
        <v>2045</v>
      </c>
      <c r="G105" s="3"/>
      <c r="H105">
        <f t="shared" si="8"/>
        <v>20.771000000000001</v>
      </c>
    </row>
    <row r="106" spans="1:8" x14ac:dyDescent="0.75">
      <c r="A106" t="str">
        <f t="shared" si="7"/>
        <v>Thomas2007I</v>
      </c>
      <c r="B106" s="1">
        <f t="shared" si="5"/>
        <v>38652</v>
      </c>
      <c r="C106" s="3" t="s">
        <v>15</v>
      </c>
      <c r="F106" s="3">
        <v>2203</v>
      </c>
      <c r="G106" s="3"/>
      <c r="H106">
        <f t="shared" si="8"/>
        <v>22.974</v>
      </c>
    </row>
    <row r="107" spans="1:8" x14ac:dyDescent="0.75">
      <c r="A107" t="str">
        <f t="shared" si="7"/>
        <v>Thomas2007I</v>
      </c>
      <c r="B107" s="1">
        <f t="shared" si="5"/>
        <v>38653</v>
      </c>
      <c r="C107" s="3" t="s">
        <v>15</v>
      </c>
      <c r="F107" s="3">
        <v>2023</v>
      </c>
      <c r="G107" s="4">
        <v>56.4</v>
      </c>
      <c r="H107">
        <f t="shared" si="8"/>
        <v>24.997</v>
      </c>
    </row>
    <row r="108" spans="1:8" x14ac:dyDescent="0.75">
      <c r="A108" t="str">
        <f t="shared" si="7"/>
        <v>Thomas2007I</v>
      </c>
      <c r="B108" s="1">
        <f t="shared" si="5"/>
        <v>38654</v>
      </c>
      <c r="C108" s="3" t="s">
        <v>15</v>
      </c>
      <c r="F108" s="3">
        <v>2035</v>
      </c>
      <c r="G108" s="3"/>
      <c r="H108">
        <f t="shared" si="8"/>
        <v>27.032</v>
      </c>
    </row>
    <row r="109" spans="1:8" x14ac:dyDescent="0.75">
      <c r="A109" t="str">
        <f t="shared" si="7"/>
        <v>Thomas2007I</v>
      </c>
      <c r="B109" s="1">
        <f t="shared" si="5"/>
        <v>38655</v>
      </c>
      <c r="C109" s="3" t="s">
        <v>15</v>
      </c>
      <c r="F109" s="3">
        <v>2022</v>
      </c>
      <c r="G109" s="3"/>
      <c r="H109">
        <f t="shared" si="8"/>
        <v>29.053999999999998</v>
      </c>
    </row>
    <row r="110" spans="1:8" x14ac:dyDescent="0.75">
      <c r="A110" t="str">
        <f t="shared" si="7"/>
        <v>Thomas2007I</v>
      </c>
      <c r="B110" s="1">
        <f t="shared" si="5"/>
        <v>38656</v>
      </c>
      <c r="C110" s="3" t="s">
        <v>15</v>
      </c>
      <c r="F110" s="3">
        <v>1975</v>
      </c>
      <c r="G110" s="3"/>
      <c r="H110">
        <f t="shared" si="8"/>
        <v>31.029</v>
      </c>
    </row>
    <row r="111" spans="1:8" x14ac:dyDescent="0.75">
      <c r="A111" t="str">
        <f t="shared" si="7"/>
        <v>Thomas2007I</v>
      </c>
      <c r="B111" s="1">
        <f t="shared" si="5"/>
        <v>38657</v>
      </c>
      <c r="C111" s="3" t="s">
        <v>15</v>
      </c>
      <c r="F111" s="3">
        <v>1750</v>
      </c>
      <c r="G111" s="3"/>
      <c r="H111">
        <f t="shared" si="8"/>
        <v>32.778999999999996</v>
      </c>
    </row>
    <row r="112" spans="1:8" x14ac:dyDescent="0.75">
      <c r="A112" t="str">
        <f t="shared" si="7"/>
        <v>Thomas2007I</v>
      </c>
      <c r="B112" s="1">
        <f t="shared" si="5"/>
        <v>38658</v>
      </c>
      <c r="C112" s="3" t="s">
        <v>15</v>
      </c>
      <c r="F112" s="3">
        <v>1955</v>
      </c>
      <c r="G112" s="3"/>
      <c r="H112">
        <f t="shared" si="8"/>
        <v>34.733999999999995</v>
      </c>
    </row>
    <row r="113" spans="1:8" x14ac:dyDescent="0.75">
      <c r="A113" t="str">
        <f t="shared" si="7"/>
        <v>Thomas2007I</v>
      </c>
      <c r="B113" s="1">
        <f t="shared" si="5"/>
        <v>38659</v>
      </c>
      <c r="C113" s="3" t="s">
        <v>15</v>
      </c>
      <c r="F113" s="3">
        <v>1677</v>
      </c>
      <c r="G113" s="3"/>
      <c r="H113">
        <f t="shared" si="8"/>
        <v>36.410999999999994</v>
      </c>
    </row>
    <row r="114" spans="1:8" x14ac:dyDescent="0.75">
      <c r="A114" t="str">
        <f t="shared" si="7"/>
        <v>Thomas2007I</v>
      </c>
      <c r="B114" s="1">
        <f t="shared" si="5"/>
        <v>38660</v>
      </c>
      <c r="C114" s="3" t="s">
        <v>15</v>
      </c>
      <c r="F114" s="3">
        <v>1718</v>
      </c>
      <c r="G114" s="4">
        <v>56.8</v>
      </c>
      <c r="H114">
        <f t="shared" si="8"/>
        <v>38.128999999999991</v>
      </c>
    </row>
    <row r="115" spans="1:8" x14ac:dyDescent="0.75">
      <c r="A115" t="str">
        <f t="shared" si="7"/>
        <v>Thomas2007I</v>
      </c>
      <c r="B115" s="1">
        <f t="shared" si="5"/>
        <v>38661</v>
      </c>
      <c r="C115" s="3" t="s">
        <v>15</v>
      </c>
      <c r="F115" s="3">
        <v>1668</v>
      </c>
      <c r="G115" s="3"/>
      <c r="H115">
        <f t="shared" si="8"/>
        <v>39.79699999999999</v>
      </c>
    </row>
    <row r="116" spans="1:8" x14ac:dyDescent="0.75">
      <c r="A116" t="str">
        <f t="shared" si="7"/>
        <v>Thomas2007I</v>
      </c>
      <c r="B116" s="1">
        <f t="shared" si="5"/>
        <v>38662</v>
      </c>
      <c r="C116" s="3" t="s">
        <v>15</v>
      </c>
      <c r="F116" s="3">
        <v>1538</v>
      </c>
      <c r="G116" s="3"/>
      <c r="H116">
        <f t="shared" si="8"/>
        <v>41.334999999999987</v>
      </c>
    </row>
    <row r="117" spans="1:8" x14ac:dyDescent="0.75">
      <c r="A117" t="str">
        <f t="shared" si="7"/>
        <v>Thomas2007I</v>
      </c>
      <c r="B117" s="1">
        <f t="shared" si="5"/>
        <v>38663</v>
      </c>
      <c r="C117" s="3" t="s">
        <v>15</v>
      </c>
      <c r="F117" s="3">
        <v>1616</v>
      </c>
      <c r="G117" s="3"/>
      <c r="H117">
        <f t="shared" si="8"/>
        <v>42.950999999999986</v>
      </c>
    </row>
    <row r="118" spans="1:8" x14ac:dyDescent="0.75">
      <c r="A118" t="str">
        <f t="shared" si="7"/>
        <v>Thomas2007I</v>
      </c>
      <c r="B118" s="1">
        <f t="shared" si="5"/>
        <v>38664</v>
      </c>
      <c r="C118" s="3" t="s">
        <v>15</v>
      </c>
      <c r="F118" s="3">
        <v>1642</v>
      </c>
      <c r="G118" s="3"/>
      <c r="H118">
        <f t="shared" si="8"/>
        <v>44.592999999999989</v>
      </c>
    </row>
    <row r="119" spans="1:8" x14ac:dyDescent="0.75">
      <c r="A119" t="str">
        <f t="shared" si="7"/>
        <v>Thomas2007I</v>
      </c>
      <c r="B119" s="1">
        <f t="shared" si="5"/>
        <v>38665</v>
      </c>
      <c r="C119" s="3" t="s">
        <v>15</v>
      </c>
      <c r="F119" s="3">
        <v>1675</v>
      </c>
      <c r="G119" s="3"/>
      <c r="H119">
        <f t="shared" si="8"/>
        <v>46.267999999999986</v>
      </c>
    </row>
    <row r="120" spans="1:8" x14ac:dyDescent="0.75">
      <c r="A120" t="str">
        <f t="shared" si="7"/>
        <v>Thomas2007I</v>
      </c>
      <c r="B120" s="1">
        <f t="shared" si="5"/>
        <v>38666</v>
      </c>
      <c r="C120" s="3" t="s">
        <v>15</v>
      </c>
      <c r="F120" s="3">
        <v>1935</v>
      </c>
      <c r="G120" s="3"/>
      <c r="H120">
        <f t="shared" si="8"/>
        <v>48.202999999999989</v>
      </c>
    </row>
    <row r="121" spans="1:8" x14ac:dyDescent="0.75">
      <c r="A121" t="str">
        <f t="shared" si="7"/>
        <v>Thomas2007I</v>
      </c>
      <c r="B121" s="1">
        <f t="shared" si="5"/>
        <v>38667</v>
      </c>
      <c r="C121" s="3" t="s">
        <v>15</v>
      </c>
      <c r="F121" s="3">
        <v>1797</v>
      </c>
      <c r="G121" s="4">
        <v>57.4</v>
      </c>
      <c r="H121">
        <f t="shared" si="8"/>
        <v>49.999999999999986</v>
      </c>
    </row>
    <row r="122" spans="1:8" x14ac:dyDescent="0.75">
      <c r="A122" t="str">
        <f t="shared" si="7"/>
        <v>Thomas2007I</v>
      </c>
      <c r="B122" s="1">
        <f t="shared" si="5"/>
        <v>38668</v>
      </c>
      <c r="C122" s="3" t="s">
        <v>15</v>
      </c>
      <c r="F122" s="3">
        <v>1906</v>
      </c>
      <c r="G122" s="3"/>
      <c r="H122">
        <f t="shared" si="8"/>
        <v>51.905999999999985</v>
      </c>
    </row>
    <row r="123" spans="1:8" x14ac:dyDescent="0.75">
      <c r="A123" t="str">
        <f t="shared" si="7"/>
        <v>Thomas2007I</v>
      </c>
      <c r="B123" s="1">
        <f t="shared" si="5"/>
        <v>38669</v>
      </c>
      <c r="C123" s="3" t="s">
        <v>15</v>
      </c>
      <c r="F123" s="3">
        <v>2167</v>
      </c>
      <c r="G123" s="3"/>
      <c r="H123">
        <f t="shared" si="8"/>
        <v>54.072999999999986</v>
      </c>
    </row>
    <row r="124" spans="1:8" x14ac:dyDescent="0.75">
      <c r="A124" t="str">
        <f t="shared" si="7"/>
        <v>Thomas2007I</v>
      </c>
      <c r="B124" s="1">
        <f t="shared" ref="B124:B183" si="9">B123+1</f>
        <v>38670</v>
      </c>
      <c r="C124" s="3" t="s">
        <v>15</v>
      </c>
      <c r="F124" s="3">
        <v>1839</v>
      </c>
      <c r="G124" s="3"/>
      <c r="H124">
        <f t="shared" si="8"/>
        <v>55.911999999999985</v>
      </c>
    </row>
    <row r="125" spans="1:8" x14ac:dyDescent="0.75">
      <c r="A125" t="str">
        <f t="shared" si="7"/>
        <v>Thomas2007I</v>
      </c>
      <c r="B125" s="1">
        <f t="shared" si="9"/>
        <v>38671</v>
      </c>
      <c r="C125" s="3" t="s">
        <v>15</v>
      </c>
      <c r="F125" s="3">
        <v>2314</v>
      </c>
      <c r="G125" s="3"/>
      <c r="H125">
        <f t="shared" si="8"/>
        <v>58.225999999999985</v>
      </c>
    </row>
    <row r="126" spans="1:8" x14ac:dyDescent="0.75">
      <c r="A126" t="str">
        <f t="shared" si="7"/>
        <v>Thomas2007I</v>
      </c>
      <c r="B126" s="1">
        <f t="shared" si="9"/>
        <v>38672</v>
      </c>
      <c r="C126" s="3" t="s">
        <v>15</v>
      </c>
      <c r="F126" s="3">
        <v>1859</v>
      </c>
      <c r="G126" s="3"/>
      <c r="H126">
        <f t="shared" si="8"/>
        <v>60.084999999999987</v>
      </c>
    </row>
    <row r="127" spans="1:8" x14ac:dyDescent="0.75">
      <c r="A127" t="str">
        <f t="shared" si="7"/>
        <v>Thomas2007I</v>
      </c>
      <c r="B127" s="1">
        <f t="shared" si="9"/>
        <v>38673</v>
      </c>
      <c r="C127" s="3" t="s">
        <v>15</v>
      </c>
      <c r="F127" s="3">
        <v>1796</v>
      </c>
      <c r="G127" s="3"/>
      <c r="H127">
        <f t="shared" si="8"/>
        <v>61.880999999999986</v>
      </c>
    </row>
    <row r="128" spans="1:8" x14ac:dyDescent="0.75">
      <c r="A128" t="str">
        <f t="shared" si="7"/>
        <v>Thomas2007I</v>
      </c>
      <c r="B128" s="1">
        <f t="shared" si="9"/>
        <v>38674</v>
      </c>
      <c r="C128" s="3" t="s">
        <v>15</v>
      </c>
      <c r="F128" s="3">
        <v>1894</v>
      </c>
      <c r="G128" s="4">
        <v>59.1</v>
      </c>
      <c r="H128">
        <f t="shared" si="8"/>
        <v>63.774999999999984</v>
      </c>
    </row>
    <row r="129" spans="1:8" x14ac:dyDescent="0.75">
      <c r="A129" t="str">
        <f t="shared" si="7"/>
        <v>Thomas2007I</v>
      </c>
      <c r="B129" s="1">
        <f t="shared" si="9"/>
        <v>38675</v>
      </c>
      <c r="C129" s="3" t="s">
        <v>15</v>
      </c>
      <c r="F129" s="3">
        <v>2066</v>
      </c>
      <c r="G129" s="3"/>
      <c r="H129">
        <f t="shared" si="8"/>
        <v>65.84099999999998</v>
      </c>
    </row>
    <row r="130" spans="1:8" x14ac:dyDescent="0.75">
      <c r="A130" t="str">
        <f t="shared" ref="A130:A161" si="10">"Thomas2007"&amp;C130</f>
        <v>Thomas2007I</v>
      </c>
      <c r="B130" s="1">
        <f t="shared" si="9"/>
        <v>38676</v>
      </c>
      <c r="C130" s="3" t="s">
        <v>15</v>
      </c>
      <c r="F130" s="3">
        <v>1844</v>
      </c>
      <c r="G130" s="3"/>
      <c r="H130">
        <f t="shared" si="8"/>
        <v>67.684999999999974</v>
      </c>
    </row>
    <row r="131" spans="1:8" x14ac:dyDescent="0.75">
      <c r="A131" t="str">
        <f t="shared" si="10"/>
        <v>Thomas2007I</v>
      </c>
      <c r="B131" s="1">
        <f t="shared" si="9"/>
        <v>38677</v>
      </c>
      <c r="C131" s="3" t="s">
        <v>15</v>
      </c>
      <c r="F131" s="3">
        <v>1884</v>
      </c>
      <c r="G131" s="3"/>
      <c r="H131">
        <f t="shared" si="8"/>
        <v>69.568999999999974</v>
      </c>
    </row>
    <row r="132" spans="1:8" x14ac:dyDescent="0.75">
      <c r="A132" t="str">
        <f t="shared" si="10"/>
        <v>Thomas2007I</v>
      </c>
      <c r="B132" s="1">
        <f t="shared" si="9"/>
        <v>38678</v>
      </c>
      <c r="C132" s="3" t="s">
        <v>15</v>
      </c>
      <c r="F132" s="3">
        <v>1792</v>
      </c>
      <c r="G132" s="3"/>
      <c r="H132">
        <f t="shared" si="8"/>
        <v>71.360999999999976</v>
      </c>
    </row>
    <row r="133" spans="1:8" x14ac:dyDescent="0.75">
      <c r="A133" t="str">
        <f t="shared" si="10"/>
        <v>Thomas2007I</v>
      </c>
      <c r="B133" s="1">
        <f t="shared" si="9"/>
        <v>38679</v>
      </c>
      <c r="C133" s="3" t="s">
        <v>15</v>
      </c>
      <c r="F133" s="3">
        <v>1897</v>
      </c>
      <c r="G133" s="3"/>
      <c r="H133">
        <f t="shared" si="8"/>
        <v>73.257999999999981</v>
      </c>
    </row>
    <row r="134" spans="1:8" x14ac:dyDescent="0.75">
      <c r="A134" t="str">
        <f t="shared" si="10"/>
        <v>Thomas2007I</v>
      </c>
      <c r="B134" s="1">
        <f t="shared" si="9"/>
        <v>38680</v>
      </c>
      <c r="C134" s="3" t="s">
        <v>15</v>
      </c>
      <c r="F134" s="3">
        <v>1980</v>
      </c>
      <c r="G134" s="3"/>
      <c r="H134">
        <f t="shared" si="8"/>
        <v>75.237999999999985</v>
      </c>
    </row>
    <row r="135" spans="1:8" x14ac:dyDescent="0.75">
      <c r="A135" t="str">
        <f t="shared" si="10"/>
        <v>Thomas2007I</v>
      </c>
      <c r="B135" s="1">
        <f t="shared" si="9"/>
        <v>38681</v>
      </c>
      <c r="C135" s="3" t="s">
        <v>15</v>
      </c>
      <c r="F135" s="3">
        <v>1181</v>
      </c>
      <c r="G135" s="4">
        <v>61</v>
      </c>
      <c r="H135">
        <f t="shared" si="8"/>
        <v>76.418999999999983</v>
      </c>
    </row>
    <row r="136" spans="1:8" x14ac:dyDescent="0.75">
      <c r="A136" t="str">
        <f t="shared" si="10"/>
        <v>Thomas2007I</v>
      </c>
      <c r="B136" s="1">
        <f t="shared" si="9"/>
        <v>38682</v>
      </c>
      <c r="C136" s="3" t="s">
        <v>15</v>
      </c>
      <c r="F136" s="3">
        <v>1589</v>
      </c>
      <c r="G136" s="3"/>
      <c r="H136">
        <f t="shared" si="8"/>
        <v>78.007999999999981</v>
      </c>
    </row>
    <row r="137" spans="1:8" x14ac:dyDescent="0.75">
      <c r="A137" t="str">
        <f t="shared" si="10"/>
        <v>Thomas2007I</v>
      </c>
      <c r="B137" s="1">
        <f t="shared" si="9"/>
        <v>38683</v>
      </c>
      <c r="C137" s="3" t="s">
        <v>15</v>
      </c>
      <c r="F137" s="3">
        <v>1215</v>
      </c>
      <c r="G137" s="3"/>
      <c r="H137">
        <f t="shared" si="8"/>
        <v>79.222999999999985</v>
      </c>
    </row>
    <row r="138" spans="1:8" x14ac:dyDescent="0.75">
      <c r="A138" t="str">
        <f t="shared" si="10"/>
        <v>Thomas2007I</v>
      </c>
      <c r="B138" s="1">
        <f t="shared" si="9"/>
        <v>38684</v>
      </c>
      <c r="C138" s="3" t="s">
        <v>15</v>
      </c>
      <c r="F138" s="3">
        <v>1261</v>
      </c>
      <c r="G138" s="3"/>
      <c r="H138">
        <f t="shared" si="8"/>
        <v>80.48399999999998</v>
      </c>
    </row>
    <row r="139" spans="1:8" x14ac:dyDescent="0.75">
      <c r="A139" t="str">
        <f t="shared" si="10"/>
        <v>Thomas2007I</v>
      </c>
      <c r="B139" s="1">
        <f t="shared" si="9"/>
        <v>38685</v>
      </c>
      <c r="C139" s="3" t="s">
        <v>15</v>
      </c>
      <c r="F139" s="3">
        <v>1233</v>
      </c>
      <c r="G139" s="3"/>
      <c r="H139">
        <f t="shared" si="8"/>
        <v>81.716999999999985</v>
      </c>
    </row>
    <row r="140" spans="1:8" x14ac:dyDescent="0.75">
      <c r="A140" t="str">
        <f t="shared" si="10"/>
        <v>Thomas2007I</v>
      </c>
      <c r="B140" s="1">
        <f t="shared" si="9"/>
        <v>38686</v>
      </c>
      <c r="C140" s="3" t="s">
        <v>15</v>
      </c>
      <c r="F140" s="3">
        <v>1398</v>
      </c>
      <c r="G140" s="3"/>
      <c r="H140">
        <f t="shared" si="8"/>
        <v>83.114999999999981</v>
      </c>
    </row>
    <row r="141" spans="1:8" x14ac:dyDescent="0.75">
      <c r="A141" t="str">
        <f t="shared" si="10"/>
        <v>Thomas2007I</v>
      </c>
      <c r="B141" s="1">
        <f t="shared" si="9"/>
        <v>38687</v>
      </c>
      <c r="C141" s="3" t="s">
        <v>15</v>
      </c>
      <c r="F141" s="3">
        <v>1420</v>
      </c>
      <c r="G141" s="3"/>
      <c r="H141">
        <f t="shared" si="8"/>
        <v>84.534999999999982</v>
      </c>
    </row>
    <row r="142" spans="1:8" x14ac:dyDescent="0.75">
      <c r="A142" t="str">
        <f t="shared" si="10"/>
        <v>Thomas2007I</v>
      </c>
      <c r="B142" s="1">
        <f t="shared" si="9"/>
        <v>38688</v>
      </c>
      <c r="C142" s="3" t="s">
        <v>15</v>
      </c>
      <c r="F142" s="3">
        <v>1519</v>
      </c>
      <c r="G142" s="4">
        <v>57.9</v>
      </c>
      <c r="H142">
        <f t="shared" si="8"/>
        <v>86.053999999999988</v>
      </c>
    </row>
    <row r="143" spans="1:8" x14ac:dyDescent="0.75">
      <c r="A143" t="str">
        <f t="shared" si="10"/>
        <v>Thomas2007M</v>
      </c>
      <c r="B143" s="1">
        <v>38642</v>
      </c>
      <c r="C143" s="3" t="s">
        <v>16</v>
      </c>
      <c r="F143" s="3">
        <v>2408</v>
      </c>
      <c r="G143" s="4"/>
      <c r="H143">
        <f>F143/1000</f>
        <v>2.4079999999999999</v>
      </c>
    </row>
    <row r="144" spans="1:8" x14ac:dyDescent="0.75">
      <c r="A144" t="str">
        <f t="shared" si="10"/>
        <v>Thomas2007M</v>
      </c>
      <c r="B144" s="1">
        <f t="shared" si="9"/>
        <v>38643</v>
      </c>
      <c r="C144" s="3" t="s">
        <v>16</v>
      </c>
      <c r="F144" s="3">
        <v>1699</v>
      </c>
      <c r="G144" s="3"/>
      <c r="H144">
        <f>H143+F144/1000</f>
        <v>4.1070000000000002</v>
      </c>
    </row>
    <row r="145" spans="1:8" x14ac:dyDescent="0.75">
      <c r="A145" t="str">
        <f t="shared" si="10"/>
        <v>Thomas2007M</v>
      </c>
      <c r="B145" s="1">
        <f t="shared" si="9"/>
        <v>38644</v>
      </c>
      <c r="C145" s="3" t="s">
        <v>16</v>
      </c>
      <c r="F145" s="3">
        <v>1910</v>
      </c>
      <c r="G145" s="3"/>
      <c r="H145">
        <f t="shared" ref="H145:H189" si="11">H144+F145/1000</f>
        <v>6.0170000000000003</v>
      </c>
    </row>
    <row r="146" spans="1:8" x14ac:dyDescent="0.75">
      <c r="A146" t="str">
        <f t="shared" si="10"/>
        <v>Thomas2007M</v>
      </c>
      <c r="B146" s="1">
        <f t="shared" si="9"/>
        <v>38645</v>
      </c>
      <c r="C146" s="3" t="s">
        <v>16</v>
      </c>
      <c r="F146" s="3">
        <v>1835</v>
      </c>
      <c r="G146" s="3"/>
      <c r="H146">
        <f t="shared" si="11"/>
        <v>7.8520000000000003</v>
      </c>
    </row>
    <row r="147" spans="1:8" x14ac:dyDescent="0.75">
      <c r="A147" t="str">
        <f t="shared" si="10"/>
        <v>Thomas2007M</v>
      </c>
      <c r="B147" s="1">
        <f t="shared" si="9"/>
        <v>38646</v>
      </c>
      <c r="C147" s="3" t="s">
        <v>16</v>
      </c>
      <c r="F147" s="3">
        <v>2156</v>
      </c>
      <c r="G147" s="4">
        <v>54</v>
      </c>
      <c r="H147">
        <f t="shared" si="11"/>
        <v>10.008000000000001</v>
      </c>
    </row>
    <row r="148" spans="1:8" x14ac:dyDescent="0.75">
      <c r="A148" t="str">
        <f t="shared" si="10"/>
        <v>Thomas2007M</v>
      </c>
      <c r="B148" s="1">
        <f t="shared" si="9"/>
        <v>38647</v>
      </c>
      <c r="C148" s="3" t="s">
        <v>16</v>
      </c>
      <c r="F148" s="3">
        <v>1580</v>
      </c>
      <c r="G148" s="3"/>
      <c r="H148">
        <f t="shared" si="11"/>
        <v>11.588000000000001</v>
      </c>
    </row>
    <row r="149" spans="1:8" x14ac:dyDescent="0.75">
      <c r="A149" t="str">
        <f t="shared" si="10"/>
        <v>Thomas2007M</v>
      </c>
      <c r="B149" s="1">
        <f t="shared" si="9"/>
        <v>38648</v>
      </c>
      <c r="C149" s="3" t="s">
        <v>16</v>
      </c>
      <c r="F149" s="3">
        <v>2062</v>
      </c>
      <c r="G149" s="3"/>
      <c r="H149">
        <f t="shared" si="11"/>
        <v>13.65</v>
      </c>
    </row>
    <row r="150" spans="1:8" x14ac:dyDescent="0.75">
      <c r="A150" t="str">
        <f t="shared" si="10"/>
        <v>Thomas2007M</v>
      </c>
      <c r="B150" s="1">
        <f t="shared" si="9"/>
        <v>38649</v>
      </c>
      <c r="C150" s="3" t="s">
        <v>16</v>
      </c>
      <c r="F150" s="3">
        <v>2014</v>
      </c>
      <c r="G150" s="3"/>
      <c r="H150">
        <f t="shared" si="11"/>
        <v>15.664</v>
      </c>
    </row>
    <row r="151" spans="1:8" x14ac:dyDescent="0.75">
      <c r="A151" t="str">
        <f t="shared" si="10"/>
        <v>Thomas2007M</v>
      </c>
      <c r="B151" s="1">
        <f t="shared" si="9"/>
        <v>38650</v>
      </c>
      <c r="C151" s="3" t="s">
        <v>16</v>
      </c>
      <c r="F151" s="3">
        <v>2047</v>
      </c>
      <c r="G151" s="3"/>
      <c r="H151">
        <f t="shared" si="11"/>
        <v>17.710999999999999</v>
      </c>
    </row>
    <row r="152" spans="1:8" x14ac:dyDescent="0.75">
      <c r="A152" t="str">
        <f t="shared" si="10"/>
        <v>Thomas2007M</v>
      </c>
      <c r="B152" s="1">
        <f t="shared" si="9"/>
        <v>38651</v>
      </c>
      <c r="C152" s="3" t="s">
        <v>16</v>
      </c>
      <c r="F152" s="3">
        <v>1878</v>
      </c>
      <c r="G152" s="3"/>
      <c r="H152">
        <f t="shared" si="11"/>
        <v>19.588999999999999</v>
      </c>
    </row>
    <row r="153" spans="1:8" x14ac:dyDescent="0.75">
      <c r="A153" t="str">
        <f t="shared" si="10"/>
        <v>Thomas2007M</v>
      </c>
      <c r="B153" s="1">
        <f t="shared" si="9"/>
        <v>38652</v>
      </c>
      <c r="C153" s="3" t="s">
        <v>16</v>
      </c>
      <c r="F153" s="3">
        <v>2017</v>
      </c>
      <c r="G153" s="3"/>
      <c r="H153">
        <f t="shared" si="11"/>
        <v>21.605999999999998</v>
      </c>
    </row>
    <row r="154" spans="1:8" x14ac:dyDescent="0.75">
      <c r="A154" t="str">
        <f t="shared" si="10"/>
        <v>Thomas2007M</v>
      </c>
      <c r="B154" s="1">
        <f t="shared" si="9"/>
        <v>38653</v>
      </c>
      <c r="C154" s="3" t="s">
        <v>16</v>
      </c>
      <c r="F154" s="3">
        <v>1791</v>
      </c>
      <c r="G154" s="4">
        <v>55.2</v>
      </c>
      <c r="H154">
        <f t="shared" si="11"/>
        <v>23.396999999999998</v>
      </c>
    </row>
    <row r="155" spans="1:8" x14ac:dyDescent="0.75">
      <c r="A155" t="str">
        <f t="shared" si="10"/>
        <v>Thomas2007M</v>
      </c>
      <c r="B155" s="1">
        <f t="shared" si="9"/>
        <v>38654</v>
      </c>
      <c r="C155" s="3" t="s">
        <v>16</v>
      </c>
      <c r="F155" s="3">
        <v>1895</v>
      </c>
      <c r="G155" s="3"/>
      <c r="H155">
        <f t="shared" si="11"/>
        <v>25.291999999999998</v>
      </c>
    </row>
    <row r="156" spans="1:8" x14ac:dyDescent="0.75">
      <c r="A156" t="str">
        <f t="shared" si="10"/>
        <v>Thomas2007M</v>
      </c>
      <c r="B156" s="1">
        <f t="shared" si="9"/>
        <v>38655</v>
      </c>
      <c r="C156" s="3" t="s">
        <v>16</v>
      </c>
      <c r="F156" s="3">
        <v>1906</v>
      </c>
      <c r="G156" s="3"/>
      <c r="H156">
        <f t="shared" si="11"/>
        <v>27.197999999999997</v>
      </c>
    </row>
    <row r="157" spans="1:8" x14ac:dyDescent="0.75">
      <c r="A157" t="str">
        <f t="shared" si="10"/>
        <v>Thomas2007M</v>
      </c>
      <c r="B157" s="1">
        <f t="shared" si="9"/>
        <v>38656</v>
      </c>
      <c r="C157" s="3" t="s">
        <v>16</v>
      </c>
      <c r="F157" s="3">
        <v>1950</v>
      </c>
      <c r="G157" s="3"/>
      <c r="H157">
        <f t="shared" si="11"/>
        <v>29.147999999999996</v>
      </c>
    </row>
    <row r="158" spans="1:8" x14ac:dyDescent="0.75">
      <c r="A158" t="str">
        <f t="shared" si="10"/>
        <v>Thomas2007M</v>
      </c>
      <c r="B158" s="1">
        <f t="shared" si="9"/>
        <v>38657</v>
      </c>
      <c r="C158" s="3" t="s">
        <v>16</v>
      </c>
      <c r="F158" s="3">
        <v>1333</v>
      </c>
      <c r="G158" s="3"/>
      <c r="H158">
        <f t="shared" si="11"/>
        <v>30.480999999999995</v>
      </c>
    </row>
    <row r="159" spans="1:8" x14ac:dyDescent="0.75">
      <c r="A159" t="str">
        <f t="shared" si="10"/>
        <v>Thomas2007M</v>
      </c>
      <c r="B159" s="1">
        <f t="shared" si="9"/>
        <v>38658</v>
      </c>
      <c r="C159" s="3" t="s">
        <v>16</v>
      </c>
      <c r="F159" s="3">
        <v>1799</v>
      </c>
      <c r="G159" s="3"/>
      <c r="H159">
        <f t="shared" si="11"/>
        <v>32.279999999999994</v>
      </c>
    </row>
    <row r="160" spans="1:8" x14ac:dyDescent="0.75">
      <c r="A160" t="str">
        <f t="shared" si="10"/>
        <v>Thomas2007M</v>
      </c>
      <c r="B160" s="1">
        <f t="shared" si="9"/>
        <v>38659</v>
      </c>
      <c r="C160" s="3" t="s">
        <v>16</v>
      </c>
      <c r="F160" s="3">
        <v>1808</v>
      </c>
      <c r="G160" s="3"/>
      <c r="H160">
        <f t="shared" si="11"/>
        <v>34.087999999999994</v>
      </c>
    </row>
    <row r="161" spans="1:8" x14ac:dyDescent="0.75">
      <c r="A161" t="str">
        <f t="shared" si="10"/>
        <v>Thomas2007M</v>
      </c>
      <c r="B161" s="1">
        <f t="shared" si="9"/>
        <v>38660</v>
      </c>
      <c r="C161" s="3" t="s">
        <v>16</v>
      </c>
      <c r="F161" s="3">
        <v>1647</v>
      </c>
      <c r="G161" s="4">
        <v>55.5</v>
      </c>
      <c r="H161">
        <f t="shared" si="11"/>
        <v>35.734999999999992</v>
      </c>
    </row>
    <row r="162" spans="1:8" x14ac:dyDescent="0.75">
      <c r="A162" t="str">
        <f t="shared" ref="A162:A182" si="12">"Thomas2007"&amp;C162</f>
        <v>Thomas2007M</v>
      </c>
      <c r="B162" s="1">
        <f t="shared" si="9"/>
        <v>38661</v>
      </c>
      <c r="C162" s="3" t="s">
        <v>16</v>
      </c>
      <c r="F162" s="3">
        <v>1523</v>
      </c>
      <c r="G162" s="3"/>
      <c r="H162">
        <f t="shared" si="11"/>
        <v>37.257999999999996</v>
      </c>
    </row>
    <row r="163" spans="1:8" x14ac:dyDescent="0.75">
      <c r="A163" t="str">
        <f t="shared" si="12"/>
        <v>Thomas2007M</v>
      </c>
      <c r="B163" s="1">
        <f t="shared" si="9"/>
        <v>38662</v>
      </c>
      <c r="C163" s="3" t="s">
        <v>16</v>
      </c>
      <c r="F163" s="3">
        <v>1799</v>
      </c>
      <c r="G163" s="3"/>
      <c r="H163">
        <f t="shared" si="11"/>
        <v>39.056999999999995</v>
      </c>
    </row>
    <row r="164" spans="1:8" x14ac:dyDescent="0.75">
      <c r="A164" t="str">
        <f t="shared" si="12"/>
        <v>Thomas2007M</v>
      </c>
      <c r="B164" s="1">
        <f t="shared" si="9"/>
        <v>38663</v>
      </c>
      <c r="C164" s="3" t="s">
        <v>16</v>
      </c>
      <c r="F164" s="3">
        <v>1812</v>
      </c>
      <c r="G164" s="3"/>
      <c r="H164">
        <f t="shared" si="11"/>
        <v>40.868999999999993</v>
      </c>
    </row>
    <row r="165" spans="1:8" x14ac:dyDescent="0.75">
      <c r="A165" t="str">
        <f t="shared" si="12"/>
        <v>Thomas2007M</v>
      </c>
      <c r="B165" s="1">
        <f t="shared" si="9"/>
        <v>38664</v>
      </c>
      <c r="C165" s="3" t="s">
        <v>16</v>
      </c>
      <c r="F165" s="3">
        <v>1526</v>
      </c>
      <c r="G165" s="3"/>
      <c r="H165">
        <f t="shared" si="11"/>
        <v>42.394999999999996</v>
      </c>
    </row>
    <row r="166" spans="1:8" x14ac:dyDescent="0.75">
      <c r="A166" t="str">
        <f t="shared" si="12"/>
        <v>Thomas2007M</v>
      </c>
      <c r="B166" s="1">
        <f t="shared" si="9"/>
        <v>38665</v>
      </c>
      <c r="C166" s="3" t="s">
        <v>16</v>
      </c>
      <c r="F166" s="3">
        <v>1720</v>
      </c>
      <c r="G166" s="3"/>
      <c r="H166">
        <f t="shared" si="11"/>
        <v>44.114999999999995</v>
      </c>
    </row>
    <row r="167" spans="1:8" x14ac:dyDescent="0.75">
      <c r="A167" t="str">
        <f t="shared" si="12"/>
        <v>Thomas2007M</v>
      </c>
      <c r="B167" s="1">
        <f t="shared" si="9"/>
        <v>38666</v>
      </c>
      <c r="C167" s="3" t="s">
        <v>16</v>
      </c>
      <c r="F167" s="3">
        <v>1868</v>
      </c>
      <c r="G167" s="3"/>
      <c r="H167">
        <f t="shared" si="11"/>
        <v>45.982999999999997</v>
      </c>
    </row>
    <row r="168" spans="1:8" x14ac:dyDescent="0.75">
      <c r="A168" t="str">
        <f t="shared" si="12"/>
        <v>Thomas2007M</v>
      </c>
      <c r="B168" s="1">
        <f t="shared" si="9"/>
        <v>38667</v>
      </c>
      <c r="C168" s="3" t="s">
        <v>16</v>
      </c>
      <c r="F168" s="3">
        <v>1725</v>
      </c>
      <c r="G168" s="4">
        <v>56.2</v>
      </c>
      <c r="H168">
        <f t="shared" si="11"/>
        <v>47.707999999999998</v>
      </c>
    </row>
    <row r="169" spans="1:8" x14ac:dyDescent="0.75">
      <c r="A169" t="str">
        <f t="shared" si="12"/>
        <v>Thomas2007M</v>
      </c>
      <c r="B169" s="1">
        <f t="shared" si="9"/>
        <v>38668</v>
      </c>
      <c r="C169" s="3" t="s">
        <v>16</v>
      </c>
      <c r="F169" s="3">
        <v>1690</v>
      </c>
      <c r="G169" s="3"/>
      <c r="H169">
        <f t="shared" si="11"/>
        <v>49.397999999999996</v>
      </c>
    </row>
    <row r="170" spans="1:8" x14ac:dyDescent="0.75">
      <c r="A170" t="str">
        <f t="shared" si="12"/>
        <v>Thomas2007M</v>
      </c>
      <c r="B170" s="1">
        <f t="shared" si="9"/>
        <v>38669</v>
      </c>
      <c r="C170" s="3" t="s">
        <v>16</v>
      </c>
      <c r="F170" s="3">
        <v>1635</v>
      </c>
      <c r="G170" s="3"/>
      <c r="H170">
        <f t="shared" si="11"/>
        <v>51.032999999999994</v>
      </c>
    </row>
    <row r="171" spans="1:8" x14ac:dyDescent="0.75">
      <c r="A171" t="str">
        <f t="shared" si="12"/>
        <v>Thomas2007M</v>
      </c>
      <c r="B171" s="1">
        <f t="shared" si="9"/>
        <v>38670</v>
      </c>
      <c r="C171" s="3" t="s">
        <v>16</v>
      </c>
      <c r="F171" s="3">
        <v>1748</v>
      </c>
      <c r="G171" s="3"/>
      <c r="H171">
        <f t="shared" si="11"/>
        <v>52.780999999999992</v>
      </c>
    </row>
    <row r="172" spans="1:8" x14ac:dyDescent="0.75">
      <c r="A172" t="str">
        <f t="shared" si="12"/>
        <v>Thomas2007M</v>
      </c>
      <c r="B172" s="1">
        <f t="shared" si="9"/>
        <v>38671</v>
      </c>
      <c r="C172" s="3" t="s">
        <v>16</v>
      </c>
      <c r="F172" s="3">
        <v>1760</v>
      </c>
      <c r="G172" s="3"/>
      <c r="H172">
        <f t="shared" si="11"/>
        <v>54.54099999999999</v>
      </c>
    </row>
    <row r="173" spans="1:8" x14ac:dyDescent="0.75">
      <c r="A173" t="str">
        <f t="shared" si="12"/>
        <v>Thomas2007M</v>
      </c>
      <c r="B173" s="1">
        <f t="shared" si="9"/>
        <v>38672</v>
      </c>
      <c r="C173" s="3" t="s">
        <v>16</v>
      </c>
      <c r="F173" s="3">
        <v>1727</v>
      </c>
      <c r="G173" s="3"/>
      <c r="H173">
        <f t="shared" si="11"/>
        <v>56.267999999999986</v>
      </c>
    </row>
    <row r="174" spans="1:8" x14ac:dyDescent="0.75">
      <c r="A174" t="str">
        <f t="shared" si="12"/>
        <v>Thomas2007M</v>
      </c>
      <c r="B174" s="1">
        <f t="shared" si="9"/>
        <v>38673</v>
      </c>
      <c r="C174" s="3" t="s">
        <v>16</v>
      </c>
      <c r="F174" s="3">
        <v>1741</v>
      </c>
      <c r="G174" s="3"/>
      <c r="H174">
        <f t="shared" si="11"/>
        <v>58.008999999999986</v>
      </c>
    </row>
    <row r="175" spans="1:8" x14ac:dyDescent="0.75">
      <c r="A175" t="str">
        <f t="shared" si="12"/>
        <v>Thomas2007M</v>
      </c>
      <c r="B175" s="1">
        <f t="shared" si="9"/>
        <v>38674</v>
      </c>
      <c r="C175" s="3" t="s">
        <v>16</v>
      </c>
      <c r="F175" s="3">
        <v>1627</v>
      </c>
      <c r="G175" s="4">
        <v>57.3</v>
      </c>
      <c r="H175">
        <f t="shared" si="11"/>
        <v>59.635999999999989</v>
      </c>
    </row>
    <row r="176" spans="1:8" x14ac:dyDescent="0.75">
      <c r="A176" t="str">
        <f t="shared" si="12"/>
        <v>Thomas2007M</v>
      </c>
      <c r="B176" s="1">
        <f t="shared" si="9"/>
        <v>38675</v>
      </c>
      <c r="C176" s="3" t="s">
        <v>16</v>
      </c>
      <c r="F176" s="3">
        <v>1828</v>
      </c>
      <c r="G176" s="3"/>
      <c r="H176">
        <f t="shared" si="11"/>
        <v>61.463999999999992</v>
      </c>
    </row>
    <row r="177" spans="1:8" x14ac:dyDescent="0.75">
      <c r="A177" t="str">
        <f t="shared" si="12"/>
        <v>Thomas2007M</v>
      </c>
      <c r="B177" s="1">
        <f t="shared" si="9"/>
        <v>38676</v>
      </c>
      <c r="C177" s="3" t="s">
        <v>16</v>
      </c>
      <c r="F177" s="3">
        <v>1939</v>
      </c>
      <c r="G177" s="3"/>
      <c r="H177">
        <f t="shared" si="11"/>
        <v>63.402999999999992</v>
      </c>
    </row>
    <row r="178" spans="1:8" x14ac:dyDescent="0.75">
      <c r="A178" t="str">
        <f t="shared" si="12"/>
        <v>Thomas2007M</v>
      </c>
      <c r="B178" s="1">
        <f t="shared" si="9"/>
        <v>38677</v>
      </c>
      <c r="C178" s="3" t="s">
        <v>16</v>
      </c>
      <c r="F178" s="3">
        <v>1753</v>
      </c>
      <c r="G178" s="3"/>
      <c r="H178">
        <f t="shared" si="11"/>
        <v>65.155999999999992</v>
      </c>
    </row>
    <row r="179" spans="1:8" x14ac:dyDescent="0.75">
      <c r="A179" t="str">
        <f t="shared" si="12"/>
        <v>Thomas2007M</v>
      </c>
      <c r="B179" s="1">
        <f t="shared" si="9"/>
        <v>38678</v>
      </c>
      <c r="C179" s="3" t="s">
        <v>16</v>
      </c>
      <c r="F179" s="3">
        <v>1803</v>
      </c>
      <c r="G179" s="3"/>
      <c r="H179">
        <f t="shared" si="11"/>
        <v>66.958999999999989</v>
      </c>
    </row>
    <row r="180" spans="1:8" x14ac:dyDescent="0.75">
      <c r="A180" t="str">
        <f t="shared" si="12"/>
        <v>Thomas2007M</v>
      </c>
      <c r="B180" s="1">
        <f t="shared" si="9"/>
        <v>38679</v>
      </c>
      <c r="C180" s="3" t="s">
        <v>16</v>
      </c>
      <c r="F180" s="3">
        <v>1670</v>
      </c>
      <c r="G180" s="3"/>
      <c r="H180">
        <f t="shared" si="11"/>
        <v>68.628999999999991</v>
      </c>
    </row>
    <row r="181" spans="1:8" x14ac:dyDescent="0.75">
      <c r="A181" t="str">
        <f t="shared" si="12"/>
        <v>Thomas2007M</v>
      </c>
      <c r="B181" s="1">
        <f t="shared" si="9"/>
        <v>38680</v>
      </c>
      <c r="C181" s="3" t="s">
        <v>16</v>
      </c>
      <c r="F181" s="3">
        <v>1861</v>
      </c>
      <c r="G181" s="3"/>
      <c r="H181">
        <f t="shared" si="11"/>
        <v>70.489999999999995</v>
      </c>
    </row>
    <row r="182" spans="1:8" x14ac:dyDescent="0.75">
      <c r="A182" t="str">
        <f t="shared" si="12"/>
        <v>Thomas2007M</v>
      </c>
      <c r="B182" s="1">
        <f t="shared" si="9"/>
        <v>38681</v>
      </c>
      <c r="C182" s="3" t="s">
        <v>16</v>
      </c>
      <c r="F182" s="3">
        <v>1034</v>
      </c>
      <c r="G182" s="4">
        <v>59.4</v>
      </c>
      <c r="H182">
        <f t="shared" si="11"/>
        <v>71.524000000000001</v>
      </c>
    </row>
    <row r="183" spans="1:8" x14ac:dyDescent="0.75">
      <c r="A183" t="str">
        <f t="shared" ref="A183:A189" si="13">"Thomas2007"&amp;C183</f>
        <v>Thomas2007M</v>
      </c>
      <c r="B183" s="1">
        <f t="shared" si="9"/>
        <v>38682</v>
      </c>
      <c r="C183" s="3" t="s">
        <v>16</v>
      </c>
      <c r="F183" s="3">
        <v>1420</v>
      </c>
      <c r="G183" s="3"/>
      <c r="H183">
        <f t="shared" si="11"/>
        <v>72.944000000000003</v>
      </c>
    </row>
    <row r="184" spans="1:8" x14ac:dyDescent="0.75">
      <c r="A184" t="str">
        <f t="shared" si="13"/>
        <v>Thomas2007M</v>
      </c>
      <c r="B184" s="1">
        <f t="shared" ref="B184:B189" si="14">B183+1</f>
        <v>38683</v>
      </c>
      <c r="C184" s="3" t="s">
        <v>16</v>
      </c>
      <c r="F184" s="3">
        <v>1348</v>
      </c>
      <c r="G184" s="3"/>
      <c r="H184">
        <f t="shared" si="11"/>
        <v>74.292000000000002</v>
      </c>
    </row>
    <row r="185" spans="1:8" x14ac:dyDescent="0.75">
      <c r="A185" t="str">
        <f t="shared" si="13"/>
        <v>Thomas2007M</v>
      </c>
      <c r="B185" s="1">
        <f t="shared" si="14"/>
        <v>38684</v>
      </c>
      <c r="C185" s="3" t="s">
        <v>16</v>
      </c>
      <c r="F185" s="3">
        <v>1505</v>
      </c>
      <c r="G185" s="3"/>
      <c r="H185">
        <f t="shared" si="11"/>
        <v>75.796999999999997</v>
      </c>
    </row>
    <row r="186" spans="1:8" x14ac:dyDescent="0.75">
      <c r="A186" t="str">
        <f t="shared" si="13"/>
        <v>Thomas2007M</v>
      </c>
      <c r="B186" s="1">
        <f t="shared" si="14"/>
        <v>38685</v>
      </c>
      <c r="C186" s="3" t="s">
        <v>16</v>
      </c>
      <c r="F186" s="3">
        <v>1610</v>
      </c>
      <c r="G186" s="3"/>
      <c r="H186">
        <f t="shared" si="11"/>
        <v>77.406999999999996</v>
      </c>
    </row>
    <row r="187" spans="1:8" x14ac:dyDescent="0.75">
      <c r="A187" t="str">
        <f t="shared" si="13"/>
        <v>Thomas2007M</v>
      </c>
      <c r="B187" s="1">
        <f t="shared" si="14"/>
        <v>38686</v>
      </c>
      <c r="C187" s="3" t="s">
        <v>16</v>
      </c>
      <c r="F187" s="3">
        <v>1509</v>
      </c>
      <c r="G187" s="3"/>
      <c r="H187">
        <f t="shared" si="11"/>
        <v>78.915999999999997</v>
      </c>
    </row>
    <row r="188" spans="1:8" x14ac:dyDescent="0.75">
      <c r="A188" t="str">
        <f t="shared" si="13"/>
        <v>Thomas2007M</v>
      </c>
      <c r="B188" s="1">
        <f t="shared" si="14"/>
        <v>38687</v>
      </c>
      <c r="C188" s="3" t="s">
        <v>16</v>
      </c>
      <c r="F188" s="3">
        <v>1568</v>
      </c>
      <c r="G188" s="3"/>
      <c r="H188">
        <f t="shared" si="11"/>
        <v>80.483999999999995</v>
      </c>
    </row>
    <row r="189" spans="1:8" x14ac:dyDescent="0.75">
      <c r="A189" t="str">
        <f t="shared" si="13"/>
        <v>Thomas2007M</v>
      </c>
      <c r="B189" s="1">
        <f t="shared" si="14"/>
        <v>38688</v>
      </c>
      <c r="C189" s="3" t="s">
        <v>16</v>
      </c>
      <c r="F189" s="3">
        <v>1460</v>
      </c>
      <c r="G189" s="4">
        <v>56.5</v>
      </c>
      <c r="H189">
        <f t="shared" si="11"/>
        <v>81.943999999999988</v>
      </c>
    </row>
    <row r="1048564" spans="4:4" x14ac:dyDescent="0.75">
      <c r="D1048564" s="1"/>
    </row>
  </sheetData>
  <pageMargins left="0.7" right="0.7" top="0.75" bottom="0.75" header="0.3" footer="0.3"/>
  <pageSetup paperSize="9" orientation="portrait" r:id="rId1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5D67-1672-42AA-A340-3C90B34A600E}">
  <dimension ref="A1:F7"/>
  <sheetViews>
    <sheetView workbookViewId="0">
      <selection activeCell="F5" sqref="F5"/>
    </sheetView>
  </sheetViews>
  <sheetFormatPr defaultRowHeight="14.75" x14ac:dyDescent="0.75"/>
  <sheetData>
    <row r="1" spans="1:6" x14ac:dyDescent="0.75">
      <c r="B1" t="s">
        <v>8</v>
      </c>
    </row>
    <row r="3" spans="1:6" x14ac:dyDescent="0.75">
      <c r="A3" t="s">
        <v>12</v>
      </c>
      <c r="B3" t="s">
        <v>9</v>
      </c>
      <c r="C3" t="s">
        <v>10</v>
      </c>
      <c r="D3" t="s">
        <v>11</v>
      </c>
    </row>
    <row r="4" spans="1:6" x14ac:dyDescent="0.75">
      <c r="A4">
        <v>0</v>
      </c>
      <c r="B4">
        <v>281.10000000000002</v>
      </c>
    </row>
    <row r="5" spans="1:6" x14ac:dyDescent="0.75">
      <c r="A5">
        <v>45</v>
      </c>
      <c r="B5">
        <v>352.3</v>
      </c>
      <c r="C5">
        <f>B5-B4</f>
        <v>71.199999999999989</v>
      </c>
      <c r="D5">
        <v>6.7</v>
      </c>
      <c r="E5">
        <f t="shared" ref="E5:E6" si="0">D5*C5</f>
        <v>477.03999999999996</v>
      </c>
      <c r="F5">
        <f>E5/A5</f>
        <v>10.600888888888887</v>
      </c>
    </row>
    <row r="6" spans="1:6" x14ac:dyDescent="0.75">
      <c r="A6">
        <v>75</v>
      </c>
      <c r="B6">
        <v>379.1</v>
      </c>
      <c r="C6">
        <f>B6-B4</f>
        <v>98</v>
      </c>
      <c r="D6">
        <v>7.21</v>
      </c>
      <c r="E6">
        <f t="shared" si="0"/>
        <v>706.58</v>
      </c>
      <c r="F6">
        <f t="shared" ref="F6:F7" si="1">E6/A6</f>
        <v>9.4210666666666665</v>
      </c>
    </row>
    <row r="7" spans="1:6" x14ac:dyDescent="0.75">
      <c r="A7">
        <v>105</v>
      </c>
      <c r="B7">
        <v>409</v>
      </c>
      <c r="C7">
        <f>B7-B4</f>
        <v>127.89999999999998</v>
      </c>
      <c r="D7">
        <v>8.08</v>
      </c>
      <c r="E7">
        <f>D7*C7</f>
        <v>1033.4319999999998</v>
      </c>
      <c r="F7">
        <f t="shared" si="1"/>
        <v>9.8422095238095224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ValidationData</vt:lpstr>
      <vt:lpstr>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Toowoomba)</dc:creator>
  <cp:lastModifiedBy>Huth, Neil (A&amp;F, Forest Hill)</cp:lastModifiedBy>
  <dcterms:created xsi:type="dcterms:W3CDTF">2015-06-05T18:17:20Z</dcterms:created>
  <dcterms:modified xsi:type="dcterms:W3CDTF">2026-04-09T05:10:49Z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2026-04-09T04:54:46Z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1fb1374f-e3b8-46e5-bb52-c3eb16afb4bb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